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入力" sheetId="1" r:id="rId1"/>
    <sheet name="結果" sheetId="2" r:id="rId2"/>
    <sheet name="定数・前提" sheetId="3" r:id="rId3"/>
    <sheet name="計算" sheetId="4" r:id="rId4"/>
  </sheets>
  <definedNames>
    <definedName name="annualH2kg">'計算'!$C$12</definedName>
    <definedName name="capacityKW">'入力'!$B$9</definedName>
    <definedName name="capexPerKW">'入力'!$B$12</definedName>
    <definedName name="cf">'入力'!$B$17</definedName>
    <definedName name="comprCapex">'入力'!$B$43</definedName>
    <definedName name="comprSEC">'入力'!$B$44</definedName>
    <definedName name="degradation">'入力'!$B$19</definedName>
    <definedName name="elecPrice">'入力'!$B$22</definedName>
    <definedName name="fx">'入力'!$B$35</definedName>
    <definedName name="grossPos">'計算'!$C$32</definedName>
    <definedName name="HHV">'定数・前提'!$B$6</definedName>
    <definedName name="hoursPerYear">'定数・前提'!$B$7</definedName>
    <definedName name="inclCompr">'入力'!$B$42</definedName>
    <definedName name="installFactor">'入力'!$B$13</definedName>
    <definedName name="lcohNm3">'計算'!$C$34</definedName>
    <definedName name="lcohPerKg">'計算'!$C$33</definedName>
    <definedName name="lcohUSD">'計算'!$C$35</definedName>
    <definedName name="lifetime">'入力'!$B$18</definedName>
    <definedName name="NM3perKG">'定数・前提'!$B$5</definedName>
    <definedName name="now_p_capex">'計算'!$C$24</definedName>
    <definedName name="now_p_compr">'計算'!$C$29</definedName>
    <definedName name="now_p_elec">'計算'!$C$27</definedName>
    <definedName name="now_p_o2">'計算'!$C$31</definedName>
    <definedName name="now_p_om">'計算'!$C$26</definedName>
    <definedName name="now_p_stack">'計算'!$C$25</definedName>
    <definedName name="now_p_subsidy">'計算'!$C$30</definedName>
    <definedName name="now_p_water">'計算'!$C$28</definedName>
    <definedName name="o2Credit">'入力'!$B$39</definedName>
    <definedName name="omPct">'入力'!$B$26</definedName>
    <definedName name="presetCapex">'定数・前提'!$B$13:$B$16</definedName>
    <definedName name="presetNames">'定数・前提'!$A$13:$A$16</definedName>
    <definedName name="presetOM">'定数・前提'!$F$13:$F$16</definedName>
    <definedName name="presetSEC">'定数・前提'!$C$13:$C$16</definedName>
    <definedName name="presetStackLife">'定数・前提'!$E$13:$E$16</definedName>
    <definedName name="presetStackShare">'定数・前提'!$D$13:$D$16</definedName>
    <definedName name="secNm3">'入力'!$B$23</definedName>
    <definedName name="stackLifeH">'入力'!$B$31</definedName>
    <definedName name="stackShare">'入力'!$B$14</definedName>
    <definedName name="subsidy">'入力'!$B$38</definedName>
    <definedName name="target2030">'定数・前提'!$B$8</definedName>
    <definedName name="target2050">'定数・前提'!$B$9</definedName>
    <definedName name="tech">'入力'!$B$6</definedName>
    <definedName name="wacc">'入力'!$B$34</definedName>
    <definedName name="waterPrice">'入力'!$B$28</definedName>
    <definedName name="waterUse">'入力'!$B$27</definedName>
  </definedNames>
  <calcPr calcId="124519" fullCalcOnLoad="1"/>
</workbook>
</file>

<file path=xl/sharedStrings.xml><?xml version="1.0" encoding="utf-8"?>
<sst xmlns="http://schemas.openxmlformats.org/spreadsheetml/2006/main" count="193" uniqueCount="158">
  <si>
    <t>定数・前提（固定値／プリセット）</t>
  </si>
  <si>
    <t>青セルは定数・前提。通常は変更不要（必要なら編集可）。方式プリセットは『入力』の参考列で参照されます。</t>
  </si>
  <si>
    <t>物理定数・換算</t>
  </si>
  <si>
    <t>kg→Nm³ 換算</t>
  </si>
  <si>
    <t>Nm³/kg</t>
  </si>
  <si>
    <t>0℃,1atm 密度0.0899kg/Nm³</t>
  </si>
  <si>
    <t>水素 高位発熱量</t>
  </si>
  <si>
    <t>kWh/kg</t>
  </si>
  <si>
    <t>効率算定用 (141.8 MJ/kg)</t>
  </si>
  <si>
    <t>年間時間</t>
  </si>
  <si>
    <t>h/年</t>
  </si>
  <si>
    <t>8760 = 24×365</t>
  </si>
  <si>
    <t>日本 供給コスト目標 2030</t>
  </si>
  <si>
    <t>円/Nm³</t>
  </si>
  <si>
    <t>経産省/NEDO</t>
  </si>
  <si>
    <t>日本 供給コスト目標 2050</t>
  </si>
  <si>
    <t>方式プリセット（代表値・編集可）</t>
  </si>
  <si>
    <t>方式</t>
  </si>
  <si>
    <t>CAPEX単価(円/kW)</t>
  </si>
  <si>
    <t>SEC(kWh/Nm³)</t>
  </si>
  <si>
    <t>スタック比率(%)</t>
  </si>
  <si>
    <t>スタック寿命(h)</t>
  </si>
  <si>
    <t>O&amp;M(%/年)</t>
  </si>
  <si>
    <t>アルカリ</t>
  </si>
  <si>
    <t>PEM</t>
  </si>
  <si>
    <t>SOEC</t>
  </si>
  <si>
    <t>AEM</t>
  </si>
  <si>
    <t>水電解 水素製造コスト 試算ツール ― 入力</t>
  </si>
  <si>
    <t>黄色セルだけ編集してください。結果は『結果』シートに自動反映（グラフ付き）。</t>
  </si>
  <si>
    <t>凡例:</t>
  </si>
  <si>
    <t>入力</t>
  </si>
  <si>
    <t>定数</t>
  </si>
  <si>
    <t>計算結果（自動）</t>
  </si>
  <si>
    <t>方式プリセット参照</t>
  </si>
  <si>
    <t>方式（参考値の表示用）</t>
  </si>
  <si>
    <t>右の入力欄に手動で値を入れます。選択方式の代表値は各行の備考に表示。</t>
  </si>
  <si>
    <t>① 装置・規模</t>
  </si>
  <si>
    <t>定格電力</t>
  </si>
  <si>
    <t>kW</t>
  </si>
  <si>
    <t>システムへの定格入力電力</t>
  </si>
  <si>
    <t>② CAPEX（設備費）</t>
  </si>
  <si>
    <t>システムCAPEX単価</t>
  </si>
  <si>
    <t>円/kW</t>
  </si>
  <si>
    <t>据付・建設係数</t>
  </si>
  <si>
    <t>%</t>
  </si>
  <si>
    <t>システム費に上乗せ</t>
  </si>
  <si>
    <t>スタック比率（対システム）</t>
  </si>
  <si>
    <t>③ 稼働プロファイル</t>
  </si>
  <si>
    <t>設備利用率（稼働率）</t>
  </si>
  <si>
    <t>稼働率×8760 = 年間稼働時間</t>
  </si>
  <si>
    <t>設備寿命</t>
  </si>
  <si>
    <t>年</t>
  </si>
  <si>
    <t>劣化率（電力原単位の上昇）</t>
  </si>
  <si>
    <t>%/年</t>
  </si>
  <si>
    <t>0で劣化なし</t>
  </si>
  <si>
    <t>④ 電力</t>
  </si>
  <si>
    <t>電力単価</t>
  </si>
  <si>
    <t>円/kWh</t>
  </si>
  <si>
    <t>LCOHの最大要素</t>
  </si>
  <si>
    <t>電力原単位（SEC）</t>
  </si>
  <si>
    <t>kWh/Nm³</t>
  </si>
  <si>
    <t>⑤ O&amp;M・水</t>
  </si>
  <si>
    <t>固定O&amp;M（対CAPEX）</t>
  </si>
  <si>
    <t>水消費</t>
  </si>
  <si>
    <t>L/Nm³</t>
  </si>
  <si>
    <t>水単価</t>
  </si>
  <si>
    <t>円/m³</t>
  </si>
  <si>
    <t>⑥ スタック</t>
  </si>
  <si>
    <t>スタック寿命</t>
  </si>
  <si>
    <t>時間(h)</t>
  </si>
  <si>
    <t>⑦ 財務</t>
  </si>
  <si>
    <t>割引率（WACC）</t>
  </si>
  <si>
    <t>資本回収係数CRFに使用</t>
  </si>
  <si>
    <t>為替</t>
  </si>
  <si>
    <t>円/$</t>
  </si>
  <si>
    <t>$表示用</t>
  </si>
  <si>
    <t>⑧ 補助金・副生酸素（任意）</t>
  </si>
  <si>
    <t>補助金</t>
  </si>
  <si>
    <t>コストから差引</t>
  </si>
  <si>
    <t>副生酸素 販売益</t>
  </si>
  <si>
    <t>⑨ 圧縮・出荷（任意）</t>
  </si>
  <si>
    <t>圧縮・出荷を含める</t>
  </si>
  <si>
    <t>1=含/0=否</t>
  </si>
  <si>
    <t>1で下の2項目を反映</t>
  </si>
  <si>
    <t>圧縮機等CAPEX（総額）</t>
  </si>
  <si>
    <t>円</t>
  </si>
  <si>
    <t>圧縮 電力原単位</t>
  </si>
  <si>
    <t>計算（LCOHエンジン）</t>
  </si>
  <si>
    <t>数式は『入力』『定数・前提』の名前を参照。編集不要。</t>
  </si>
  <si>
    <t>現在</t>
  </si>
  <si>
    <t>項目</t>
  </si>
  <si>
    <t>r=WACC</t>
  </si>
  <si>
    <t>寿命N</t>
  </si>
  <si>
    <t>資本回収係数CRF</t>
  </si>
  <si>
    <t>年間稼働時間</t>
  </si>
  <si>
    <t>SEC(kWh/kg)</t>
  </si>
  <si>
    <t>劣化係数</t>
  </si>
  <si>
    <t>実効SEC</t>
  </si>
  <si>
    <t>年間H2(kg)</t>
  </si>
  <si>
    <t>システムCAPEX</t>
  </si>
  <si>
    <t>総CAPEX(据付込)</t>
  </si>
  <si>
    <t>CAPEX年経費</t>
  </si>
  <si>
    <t>固定O&amp;M(円/年)</t>
  </si>
  <si>
    <t>スタック費/回</t>
  </si>
  <si>
    <t>交換周期(年)</t>
  </si>
  <si>
    <t>交換回数</t>
  </si>
  <si>
    <t>割引率^(-周期)</t>
  </si>
  <si>
    <t>交換費PV</t>
  </si>
  <si>
    <t>スタック年経費</t>
  </si>
  <si>
    <t>圧縮(円/kg)</t>
  </si>
  <si>
    <t>設備費(円/kg)</t>
  </si>
  <si>
    <t>スタック交換(円/kg)</t>
  </si>
  <si>
    <t>固定O&amp;M(円/kg)</t>
  </si>
  <si>
    <t>電力費(円/kg)</t>
  </si>
  <si>
    <t>水費(円/kg)</t>
  </si>
  <si>
    <t>圧縮・出荷(円/kg)</t>
  </si>
  <si>
    <t>補助金(円/kg)</t>
  </si>
  <si>
    <t>副生酸素(円/kg)</t>
  </si>
  <si>
    <t>粗コスト合計(円/kg)</t>
  </si>
  <si>
    <t>LCOH(円/kg)</t>
  </si>
  <si>
    <t>LCOH(円/Nm³)</t>
  </si>
  <si>
    <t>LCOH($/kg)</t>
  </si>
  <si>
    <t>▼ 積み上げグラフ用（円/Nm³）</t>
  </si>
  <si>
    <t>成分＼方式</t>
  </si>
  <si>
    <t>設備費(CAPEX)</t>
  </si>
  <si>
    <t>スタック交換</t>
  </si>
  <si>
    <t>固定O&amp;M</t>
  </si>
  <si>
    <t>電力費</t>
  </si>
  <si>
    <t>水費</t>
  </si>
  <si>
    <t>圧縮・出荷</t>
  </si>
  <si>
    <t>副生酸素</t>
  </si>
  <si>
    <t>2030目標</t>
  </si>
  <si>
    <t>2050目標</t>
  </si>
  <si>
    <t>▼ 感度分析：設備利用率 vs LCOH</t>
  </si>
  <si>
    <t>設備利用率(%)</t>
  </si>
  <si>
    <t>hours</t>
  </si>
  <si>
    <t>aH2</t>
  </si>
  <si>
    <t>p_capex</t>
  </si>
  <si>
    <t>yps</t>
  </si>
  <si>
    <t>nRepl</t>
  </si>
  <si>
    <t>q</t>
  </si>
  <si>
    <t>pvRepl</t>
  </si>
  <si>
    <t>aStack</t>
  </si>
  <si>
    <t>p_stack</t>
  </si>
  <si>
    <t>compr</t>
  </si>
  <si>
    <t>水電解 水素製造コスト 試算結果</t>
  </si>
  <si>
    <t>数値は『入力』を変えると自動更新。方式比較の積み上げ・構成比・感度をグラフ表示。</t>
  </si>
  <si>
    <t>水素製造コスト (LCOH)</t>
  </si>
  <si>
    <t>円/kg</t>
  </si>
  <si>
    <t>$/kg</t>
  </si>
  <si>
    <t>年間生産量</t>
  </si>
  <si>
    <t>Nm³/年</t>
  </si>
  <si>
    <t>t/年</t>
  </si>
  <si>
    <t>電力費シェア</t>
  </si>
  <si>
    <t>2030目標差</t>
  </si>
  <si>
    <t>内訳</t>
  </si>
  <si>
    <t>構成比</t>
  </si>
  <si>
    <t>合計 LCOH</t>
  </si>
</sst>
</file>

<file path=xl/styles.xml><?xml version="1.0" encoding="utf-8"?>
<styleSheet xmlns="http://schemas.openxmlformats.org/spreadsheetml/2006/main">
  <numFmts count="10">
    <numFmt numFmtId="164" formatCode="#,##0"/>
    <numFmt numFmtId="165" formatCode="#,##0.###"/>
    <numFmt numFmtId="166" formatCode="#,##0.0"/>
    <numFmt numFmtId="167" formatCode="$#,##0.00"/>
    <numFmt numFmtId="168" formatCode="0%"/>
    <numFmt numFmtId="169" formatCode="+#,##0.0;-#,##0.0"/>
    <numFmt numFmtId="170" formatCode="#,##0.00"/>
    <numFmt numFmtId="171" formatCode="$#,##0.000"/>
    <numFmt numFmtId="172" formatCode="0.0%"/>
    <numFmt numFmtId="173" formatCode="#,##0.######"/>
  </numFmts>
  <fonts count="14">
    <font>
      <sz val="11"/>
      <color theme="1"/>
      <name val="Calibri"/>
      <family val="2"/>
      <scheme val="minor"/>
    </font>
    <font>
      <b/>
      <sz val="16"/>
      <color rgb="FF0B1120"/>
      <name val="Calibri"/>
      <family val="2"/>
      <scheme val="minor"/>
    </font>
    <font>
      <sz val="10"/>
      <color rgb="FF475569"/>
      <name val="Calibri"/>
      <family val="2"/>
      <scheme val="minor"/>
    </font>
    <font>
      <i/>
      <sz val="9"/>
      <color rgb="FF64748B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B1120"/>
      <name val="Calibri"/>
      <family val="2"/>
      <scheme val="minor"/>
    </font>
    <font>
      <sz val="9"/>
      <color rgb="FF475569"/>
      <name val="Calibri"/>
      <family val="2"/>
      <scheme val="minor"/>
    </font>
    <font>
      <b/>
      <sz val="28"/>
      <color rgb="FF0EA5E9"/>
      <name val="Calibri"/>
      <family val="2"/>
      <scheme val="minor"/>
    </font>
    <font>
      <b/>
      <sz val="14"/>
      <color rgb="FF0B11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EA5E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3C4"/>
        <bgColor indexed="64"/>
      </patternFill>
    </fill>
    <fill>
      <patternFill patternType="solid">
        <fgColor rgb="FFDCEC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2A44"/>
        <bgColor indexed="64"/>
      </patternFill>
    </fill>
    <fill>
      <patternFill patternType="solid">
        <fgColor rgb="FF33415C"/>
        <bgColor indexed="64"/>
      </patternFill>
    </fill>
    <fill>
      <patternFill patternType="solid">
        <fgColor rgb="FFEEF2FF"/>
        <bgColor indexed="64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B1120"/>
      </left>
      <right style="thin">
        <color rgb="FF0B1120"/>
      </right>
      <top style="thin">
        <color rgb="FF0B1120"/>
      </top>
      <bottom style="thin">
        <color rgb="FF0B112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right"/>
    </xf>
    <xf numFmtId="0" fontId="8" fillId="0" borderId="0" xfId="0" applyFont="1" applyAlignment="1">
      <alignment horizontal="left"/>
    </xf>
    <xf numFmtId="165" fontId="7" fillId="2" borderId="1" xfId="0" applyNumberFormat="1" applyFont="1" applyFill="1" applyBorder="1" applyAlignment="1">
      <alignment horizontal="right"/>
    </xf>
    <xf numFmtId="166" fontId="9" fillId="0" borderId="0" xfId="0" applyNumberFormat="1" applyFont="1"/>
    <xf numFmtId="166" fontId="10" fillId="0" borderId="0" xfId="0" applyNumberFormat="1" applyFont="1"/>
    <xf numFmtId="167" fontId="11" fillId="0" borderId="0" xfId="0" applyNumberFormat="1" applyFont="1"/>
    <xf numFmtId="164" fontId="12" fillId="0" borderId="0" xfId="0" applyNumberFormat="1" applyFont="1"/>
    <xf numFmtId="166" fontId="0" fillId="0" borderId="0" xfId="0" applyNumberFormat="1"/>
    <xf numFmtId="168" fontId="13" fillId="0" borderId="0" xfId="0" applyNumberFormat="1" applyFont="1"/>
    <xf numFmtId="169" fontId="12" fillId="0" borderId="0" xfId="0" applyNumberFormat="1" applyFont="1"/>
    <xf numFmtId="0" fontId="5" fillId="6" borderId="2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70" fontId="0" fillId="0" borderId="1" xfId="0" applyNumberFormat="1" applyBorder="1" applyAlignment="1">
      <alignment horizontal="right"/>
    </xf>
    <xf numFmtId="171" fontId="0" fillId="0" borderId="1" xfId="0" applyNumberFormat="1" applyBorder="1" applyAlignment="1">
      <alignment horizontal="right"/>
    </xf>
    <xf numFmtId="172" fontId="0" fillId="0" borderId="1" xfId="0" applyNumberFormat="1" applyBorder="1" applyAlignment="1">
      <alignment horizontal="right"/>
    </xf>
    <xf numFmtId="0" fontId="12" fillId="7" borderId="2" xfId="0" applyFont="1" applyFill="1" applyBorder="1" applyAlignment="1">
      <alignment horizontal="left"/>
    </xf>
    <xf numFmtId="170" fontId="12" fillId="7" borderId="2" xfId="0" applyNumberFormat="1" applyFont="1" applyFill="1" applyBorder="1" applyAlignment="1">
      <alignment horizontal="right"/>
    </xf>
    <xf numFmtId="171" fontId="12" fillId="7" borderId="3" xfId="0" applyNumberFormat="1" applyFont="1" applyFill="1" applyBorder="1" applyAlignment="1">
      <alignment horizontal="right"/>
    </xf>
    <xf numFmtId="165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73" fontId="7" fillId="4" borderId="1" xfId="0" applyNumberFormat="1" applyFont="1" applyFill="1" applyBorder="1" applyAlignment="1">
      <alignment horizontal="right"/>
    </xf>
    <xf numFmtId="170" fontId="7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コスト内訳（積み上げ）と目標 ― 方式比較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設備費(CAPEX)</c:v>
          </c:tx>
          <c:spPr>
            <a:solidFill>
              <a:srgbClr val="38BDF8"/>
            </a:solidFill>
            <a:ln>
              <a:noFill/>
            </a:ln>
          </c:spPr>
          <c:cat>
            <c:strRef>
              <c:f>計算!$C$38:$G$38</c:f>
              <c:strCache>
                <c:ptCount val="5"/>
                <c:pt idx="0">
                  <c:v>現在</c:v>
                </c:pt>
                <c:pt idx="1">
                  <c:v>アルカリ</c:v>
                </c:pt>
                <c:pt idx="2">
                  <c:v>PEM</c:v>
                </c:pt>
                <c:pt idx="3">
                  <c:v>SOEC</c:v>
                </c:pt>
                <c:pt idx="4">
                  <c:v>AEM</c:v>
                </c:pt>
              </c:strCache>
            </c:strRef>
          </c:cat>
          <c:val>
            <c:numRef>
              <c:f>計算!$C$39:$G$39</c:f>
              <c:numCache>
                <c:formatCode>General</c:formatCode>
                <c:ptCount val="5"/>
                <c:pt idx="0">
                  <c:v>23.19063839731564</c:v>
                </c:pt>
                <c:pt idx="1">
                  <c:v>17.54055558778783</c:v>
                </c:pt>
                <c:pt idx="2">
                  <c:v>23.19063839731564</c:v>
                </c:pt>
                <c:pt idx="3">
                  <c:v>35.24977036391977</c:v>
                </c:pt>
                <c:pt idx="4">
                  <c:v>18.889829094540737</c:v>
                </c:pt>
              </c:numCache>
            </c:numRef>
          </c:val>
        </c:ser>
        <c:ser>
          <c:idx val="1"/>
          <c:order val="1"/>
          <c:tx>
            <c:v>スタック交換</c:v>
          </c:tx>
          <c:spPr>
            <a:solidFill>
              <a:srgbClr val="818CF8"/>
            </a:solidFill>
            <a:ln>
              <a:noFill/>
            </a:ln>
          </c:spPr>
          <c:cat>
            <c:strRef>
              <c:f>計算!$C$38:$G$38</c:f>
              <c:strCache>
                <c:ptCount val="5"/>
                <c:pt idx="0">
                  <c:v>現在</c:v>
                </c:pt>
                <c:pt idx="1">
                  <c:v>アルカリ</c:v>
                </c:pt>
                <c:pt idx="2">
                  <c:v>PEM</c:v>
                </c:pt>
                <c:pt idx="3">
                  <c:v>SOEC</c:v>
                </c:pt>
                <c:pt idx="4">
                  <c:v>AEM</c:v>
                </c:pt>
              </c:strCache>
            </c:strRef>
          </c:cat>
          <c:val>
            <c:numRef>
              <c:f>計算!$C$40:$G$40</c:f>
              <c:numCache>
                <c:formatCode>General</c:formatCode>
                <c:ptCount val="5"/>
                <c:pt idx="0">
                  <c:v>2.684757782528279</c:v>
                </c:pt>
                <c:pt idx="1">
                  <c:v>1.3352772332900464</c:v>
                </c:pt>
                <c:pt idx="2">
                  <c:v>2.684757782528279</c:v>
                </c:pt>
                <c:pt idx="3">
                  <c:v>11.336950868511018</c:v>
                </c:pt>
                <c:pt idx="4">
                  <c:v>6.104193400630943</c:v>
                </c:pt>
              </c:numCache>
            </c:numRef>
          </c:val>
        </c:ser>
        <c:ser>
          <c:idx val="2"/>
          <c:order val="2"/>
          <c:tx>
            <c:v>固定O&amp;M</c:v>
          </c:tx>
          <c:spPr>
            <a:solidFill>
              <a:srgbClr val="2DD4BF"/>
            </a:solidFill>
            <a:ln>
              <a:noFill/>
            </a:ln>
          </c:spPr>
          <c:cat>
            <c:strRef>
              <c:f>計算!$C$38:$G$38</c:f>
              <c:strCache>
                <c:ptCount val="5"/>
                <c:pt idx="0">
                  <c:v>現在</c:v>
                </c:pt>
                <c:pt idx="1">
                  <c:v>アルカリ</c:v>
                </c:pt>
                <c:pt idx="2">
                  <c:v>PEM</c:v>
                </c:pt>
                <c:pt idx="3">
                  <c:v>SOEC</c:v>
                </c:pt>
                <c:pt idx="4">
                  <c:v>AEM</c:v>
                </c:pt>
              </c:strCache>
            </c:strRef>
          </c:cat>
          <c:val>
            <c:numRef>
              <c:f>計算!$C$41:$G$41</c:f>
              <c:numCache>
                <c:formatCode>General</c:formatCode>
                <c:ptCount val="5"/>
                <c:pt idx="0">
                  <c:v>8.598868374032161</c:v>
                </c:pt>
                <c:pt idx="1">
                  <c:v>5.574746873138772</c:v>
                </c:pt>
                <c:pt idx="2">
                  <c:v>8.598868374032161</c:v>
                </c:pt>
                <c:pt idx="3">
                  <c:v>14.937462775461583</c:v>
                </c:pt>
                <c:pt idx="4">
                  <c:v>6.003573555687908</c:v>
                </c:pt>
              </c:numCache>
            </c:numRef>
          </c:val>
        </c:ser>
        <c:ser>
          <c:idx val="3"/>
          <c:order val="3"/>
          <c:tx>
            <c:v>電力費</c:v>
          </c:tx>
          <c:spPr>
            <a:solidFill>
              <a:srgbClr val="FBBF24"/>
            </a:solidFill>
            <a:ln>
              <a:noFill/>
            </a:ln>
          </c:spPr>
          <c:cat>
            <c:strRef>
              <c:f>計算!$C$38:$G$38</c:f>
              <c:strCache>
                <c:ptCount val="5"/>
                <c:pt idx="0">
                  <c:v>現在</c:v>
                </c:pt>
                <c:pt idx="1">
                  <c:v>アルカリ</c:v>
                </c:pt>
                <c:pt idx="2">
                  <c:v>PEM</c:v>
                </c:pt>
                <c:pt idx="3">
                  <c:v>SOEC</c:v>
                </c:pt>
                <c:pt idx="4">
                  <c:v>AEM</c:v>
                </c:pt>
              </c:strCache>
            </c:strRef>
          </c:cat>
          <c:val>
            <c:numRef>
              <c:f>計算!$C$42:$G$42</c:f>
              <c:numCache>
                <c:formatCode>General</c:formatCode>
                <c:ptCount val="5"/>
                <c:pt idx="0">
                  <c:v>75.0</c:v>
                </c:pt>
                <c:pt idx="1">
                  <c:v>72.0</c:v>
                </c:pt>
                <c:pt idx="2">
                  <c:v>75.0</c:v>
                </c:pt>
                <c:pt idx="3">
                  <c:v>57.0</c:v>
                </c:pt>
                <c:pt idx="4">
                  <c:v>72.0</c:v>
                </c:pt>
              </c:numCache>
            </c:numRef>
          </c:val>
        </c:ser>
        <c:ser>
          <c:idx val="4"/>
          <c:order val="4"/>
          <c:tx>
            <c:v>水費</c:v>
          </c:tx>
          <c:spPr>
            <a:solidFill>
              <a:srgbClr val="22D3EE"/>
            </a:solidFill>
            <a:ln>
              <a:noFill/>
            </a:ln>
          </c:spPr>
          <c:cat>
            <c:strRef>
              <c:f>計算!$C$38:$G$38</c:f>
              <c:strCache>
                <c:ptCount val="5"/>
                <c:pt idx="0">
                  <c:v>現在</c:v>
                </c:pt>
                <c:pt idx="1">
                  <c:v>アルカリ</c:v>
                </c:pt>
                <c:pt idx="2">
                  <c:v>PEM</c:v>
                </c:pt>
                <c:pt idx="3">
                  <c:v>SOEC</c:v>
                </c:pt>
                <c:pt idx="4">
                  <c:v>AEM</c:v>
                </c:pt>
              </c:strCache>
            </c:strRef>
          </c:cat>
          <c:val>
            <c:numRef>
              <c:f>計算!$C$43:$G$43</c:f>
              <c:numCache>
                <c:formatCode>General</c:formatCode>
                <c:ptCount val="5"/>
                <c:pt idx="0">
                  <c:v>0.42</c:v>
                </c:pt>
                <c:pt idx="1">
                  <c:v>0.42</c:v>
                </c:pt>
                <c:pt idx="2">
                  <c:v>0.42</c:v>
                </c:pt>
                <c:pt idx="3">
                  <c:v>0.42</c:v>
                </c:pt>
                <c:pt idx="4">
                  <c:v>0.42</c:v>
                </c:pt>
              </c:numCache>
            </c:numRef>
          </c:val>
        </c:ser>
        <c:ser>
          <c:idx val="5"/>
          <c:order val="5"/>
          <c:tx>
            <c:v>圧縮・出荷</c:v>
          </c:tx>
          <c:spPr>
            <a:solidFill>
              <a:srgbClr val="A78BFA"/>
            </a:solidFill>
            <a:ln>
              <a:noFill/>
            </a:ln>
          </c:spPr>
          <c:cat>
            <c:strRef>
              <c:f>計算!$C$38:$G$38</c:f>
              <c:strCache>
                <c:ptCount val="5"/>
                <c:pt idx="0">
                  <c:v>現在</c:v>
                </c:pt>
                <c:pt idx="1">
                  <c:v>アルカリ</c:v>
                </c:pt>
                <c:pt idx="2">
                  <c:v>PEM</c:v>
                </c:pt>
                <c:pt idx="3">
                  <c:v>SOEC</c:v>
                </c:pt>
                <c:pt idx="4">
                  <c:v>AEM</c:v>
                </c:pt>
              </c:strCache>
            </c:strRef>
          </c:cat>
          <c:val>
            <c:numRef>
              <c:f>計算!$C$44:$G$44</c:f>
              <c:numCache>
                <c:formatCode>General</c:formatCode>
                <c:ptCount val="5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</c:numCache>
            </c:numRef>
          </c:val>
        </c:ser>
        <c:ser>
          <c:idx val="6"/>
          <c:order val="6"/>
          <c:tx>
            <c:v>補助金</c:v>
          </c:tx>
          <c:spPr>
            <a:solidFill>
              <a:srgbClr val="34D399"/>
            </a:solidFill>
            <a:ln>
              <a:noFill/>
            </a:ln>
          </c:spPr>
          <c:cat>
            <c:strRef>
              <c:f>計算!$C$38:$G$38</c:f>
              <c:strCache>
                <c:ptCount val="5"/>
                <c:pt idx="0">
                  <c:v>現在</c:v>
                </c:pt>
                <c:pt idx="1">
                  <c:v>アルカリ</c:v>
                </c:pt>
                <c:pt idx="2">
                  <c:v>PEM</c:v>
                </c:pt>
                <c:pt idx="3">
                  <c:v>SOEC</c:v>
                </c:pt>
                <c:pt idx="4">
                  <c:v>AEM</c:v>
                </c:pt>
              </c:strCache>
            </c:strRef>
          </c:cat>
          <c:val>
            <c:numRef>
              <c:f>計算!$C$45:$G$45</c:f>
              <c:numCache>
                <c:formatCode>General</c:formatCode>
                <c:ptCount val="5"/>
                <c:pt idx="0">
                  <c:v>-0.0</c:v>
                </c:pt>
                <c:pt idx="1">
                  <c:v>-0.0</c:v>
                </c:pt>
                <c:pt idx="2">
                  <c:v>-0.0</c:v>
                </c:pt>
                <c:pt idx="3">
                  <c:v>-0.0</c:v>
                </c:pt>
                <c:pt idx="4">
                  <c:v>-0.0</c:v>
                </c:pt>
              </c:numCache>
            </c:numRef>
          </c:val>
        </c:ser>
        <c:ser>
          <c:idx val="7"/>
          <c:order val="7"/>
          <c:tx>
            <c:v>副生酸素</c:v>
          </c:tx>
          <c:spPr>
            <a:solidFill>
              <a:srgbClr val="4ADE80"/>
            </a:solidFill>
            <a:ln>
              <a:noFill/>
            </a:ln>
          </c:spPr>
          <c:cat>
            <c:strRef>
              <c:f>計算!$C$38:$G$38</c:f>
              <c:strCache>
                <c:ptCount val="5"/>
                <c:pt idx="0">
                  <c:v>現在</c:v>
                </c:pt>
                <c:pt idx="1">
                  <c:v>アルカリ</c:v>
                </c:pt>
                <c:pt idx="2">
                  <c:v>PEM</c:v>
                </c:pt>
                <c:pt idx="3">
                  <c:v>SOEC</c:v>
                </c:pt>
                <c:pt idx="4">
                  <c:v>AEM</c:v>
                </c:pt>
              </c:strCache>
            </c:strRef>
          </c:cat>
          <c:val>
            <c:numRef>
              <c:f>計算!$C$46:$G$46</c:f>
              <c:numCache>
                <c:formatCode>General</c:formatCode>
                <c:ptCount val="5"/>
                <c:pt idx="0">
                  <c:v>-0.0</c:v>
                </c:pt>
                <c:pt idx="1">
                  <c:v>-0.0</c:v>
                </c:pt>
                <c:pt idx="2">
                  <c:v>-0.0</c:v>
                </c:pt>
                <c:pt idx="3">
                  <c:v>-0.0</c:v>
                </c:pt>
                <c:pt idx="4">
                  <c:v>-0.0</c:v>
                </c:pt>
              </c:numCache>
            </c:numRef>
          </c:val>
        </c:ser>
        <c:gapWidth val="80"/>
        <c:overlap val="100"/>
        <c:axId val="50010001"/>
        <c:axId val="50010002"/>
      </c:barChart>
      <c:lineChart>
        <c:grouping val="standard"/>
        <c:ser>
          <c:idx val="8"/>
          <c:order val="8"/>
          <c:tx>
            <c:v>2030目標 (30)</c:v>
          </c:tx>
          <c:spPr>
            <a:ln w="19050">
              <a:solidFill>
                <a:srgbClr val="F59E0B"/>
              </a:solidFill>
              <a:prstDash val="dash"/>
            </a:ln>
          </c:spPr>
          <c:marker>
            <c:symbol val="none"/>
          </c:marker>
          <c:cat>
            <c:strRef>
              <c:f>計算!$C$38:$G$38</c:f>
              <c:strCache>
                <c:ptCount val="5"/>
                <c:pt idx="0">
                  <c:v>現在</c:v>
                </c:pt>
                <c:pt idx="1">
                  <c:v>アルカリ</c:v>
                </c:pt>
                <c:pt idx="2">
                  <c:v>PEM</c:v>
                </c:pt>
                <c:pt idx="3">
                  <c:v>SOEC</c:v>
                </c:pt>
                <c:pt idx="4">
                  <c:v>AEM</c:v>
                </c:pt>
              </c:strCache>
            </c:strRef>
          </c:cat>
          <c:val>
            <c:numRef>
              <c:f>計算!$C$47:$G$47</c:f>
              <c:numCache>
                <c:formatCode>General</c:formatCode>
                <c:ptCount val="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</c:numCache>
            </c:numRef>
          </c:val>
        </c:ser>
        <c:ser>
          <c:idx val="9"/>
          <c:order val="9"/>
          <c:tx>
            <c:v>2050目標 (20)</c:v>
          </c:tx>
          <c:spPr>
            <a:ln w="19050">
              <a:solidFill>
                <a:srgbClr val="10B981"/>
              </a:solidFill>
              <a:prstDash val="dash"/>
            </a:ln>
          </c:spPr>
          <c:marker>
            <c:symbol val="none"/>
          </c:marker>
          <c:cat>
            <c:strRef>
              <c:f>計算!$C$38:$G$38</c:f>
              <c:strCache>
                <c:ptCount val="5"/>
                <c:pt idx="0">
                  <c:v>現在</c:v>
                </c:pt>
                <c:pt idx="1">
                  <c:v>アルカリ</c:v>
                </c:pt>
                <c:pt idx="2">
                  <c:v>PEM</c:v>
                </c:pt>
                <c:pt idx="3">
                  <c:v>SOEC</c:v>
                </c:pt>
                <c:pt idx="4">
                  <c:v>AEM</c:v>
                </c:pt>
              </c:strCache>
            </c:strRef>
          </c:cat>
          <c:val>
            <c:numRef>
              <c:f>計算!$C$48:$G$48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方式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LCOH (円/Nm³)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構成比（現在）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構成比（現在・円/Nm³）</c:v>
          </c:tx>
          <c:dPt>
            <c:idx val="0"/>
            <c:spPr>
              <a:solidFill>
                <a:srgbClr val="38BDF8"/>
              </a:solidFill>
            </c:spPr>
          </c:dPt>
          <c:dPt>
            <c:idx val="1"/>
            <c:spPr>
              <a:solidFill>
                <a:srgbClr val="818CF8"/>
              </a:solidFill>
            </c:spPr>
          </c:dPt>
          <c:dPt>
            <c:idx val="2"/>
            <c:spPr>
              <a:solidFill>
                <a:srgbClr val="2DD4BF"/>
              </a:solidFill>
            </c:spPr>
          </c:dPt>
          <c:dPt>
            <c:idx val="3"/>
            <c:spPr>
              <a:solidFill>
                <a:srgbClr val="FBBF24"/>
              </a:solidFill>
            </c:spPr>
          </c:dPt>
          <c:dPt>
            <c:idx val="4"/>
            <c:spPr>
              <a:solidFill>
                <a:srgbClr val="22D3EE"/>
              </a:solidFill>
            </c:spPr>
          </c:dPt>
          <c:dPt>
            <c:idx val="5"/>
            <c:spPr>
              <a:solidFill>
                <a:srgbClr val="A78BFA"/>
              </a:solidFill>
            </c:spPr>
          </c:dPt>
          <c:cat>
            <c:strRef>
              <c:f>計算!$A$39:$A$44</c:f>
              <c:strCache>
                <c:ptCount val="6"/>
                <c:pt idx="0">
                  <c:v>設備費(CAPEX)</c:v>
                </c:pt>
                <c:pt idx="1">
                  <c:v>スタック交換</c:v>
                </c:pt>
                <c:pt idx="2">
                  <c:v>固定O&amp;M</c:v>
                </c:pt>
                <c:pt idx="3">
                  <c:v>電力費</c:v>
                </c:pt>
                <c:pt idx="4">
                  <c:v>水費</c:v>
                </c:pt>
                <c:pt idx="5">
                  <c:v>圧縮・出荷</c:v>
                </c:pt>
              </c:strCache>
            </c:strRef>
          </c:cat>
          <c:val>
            <c:numRef>
              <c:f>計算!$C$39:$C$44</c:f>
              <c:numCache>
                <c:formatCode>General</c:formatCode>
                <c:ptCount val="6"/>
                <c:pt idx="0">
                  <c:v>23.19063839731564</c:v>
                </c:pt>
                <c:pt idx="1">
                  <c:v>2.684757782528279</c:v>
                </c:pt>
                <c:pt idx="2">
                  <c:v>8.598868374032161</c:v>
                </c:pt>
                <c:pt idx="3">
                  <c:v>75.0</c:v>
                </c:pt>
                <c:pt idx="4">
                  <c:v>0.42</c:v>
                </c:pt>
                <c:pt idx="5">
                  <c:v>0.0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感度分析：設備利用率 → LCOH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LCOH vs 設備利用率</c:v>
          </c:tx>
          <c:spPr>
            <a:ln w="28575">
              <a:solidFill>
                <a:srgbClr val="38BDF8"/>
              </a:solidFill>
            </a:ln>
          </c:spPr>
          <c:marker>
            <c:symbol val="circle"/>
            <c:size val="4"/>
            <c:spPr>
              <a:solidFill>
                <a:srgbClr val="38BDF8"/>
              </a:solidFill>
            </c:spPr>
          </c:marker>
          <c:cat>
            <c:numRef>
              <c:f>計算!$A$52:$A$69</c:f>
              <c:numCache>
                <c:formatCode>General</c:formatCode>
                <c:ptCount val="18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</c:numCache>
            </c:numRef>
          </c:cat>
          <c:val>
            <c:numRef>
              <c:f>計算!$L$52:$L$69</c:f>
              <c:numCache>
                <c:formatCode>General</c:formatCode>
                <c:ptCount val="18"/>
                <c:pt idx="0">
                  <c:v>221.6517311481999</c:v>
                </c:pt>
                <c:pt idx="1">
                  <c:v>172.90782076546662</c:v>
                </c:pt>
                <c:pt idx="2">
                  <c:v>148.53586557409997</c:v>
                </c:pt>
                <c:pt idx="3">
                  <c:v>133.91269245927995</c:v>
                </c:pt>
                <c:pt idx="4">
                  <c:v>124.1639103827333</c:v>
                </c:pt>
                <c:pt idx="5">
                  <c:v>117.20049461377141</c:v>
                </c:pt>
                <c:pt idx="6">
                  <c:v>114.56636693750664</c:v>
                </c:pt>
                <c:pt idx="7">
                  <c:v>110.58960741705596</c:v>
                </c:pt>
                <c:pt idx="8">
                  <c:v>107.37983511035942</c:v>
                </c:pt>
                <c:pt idx="9">
                  <c:v>104.7292019897172</c:v>
                </c:pt>
                <c:pt idx="10">
                  <c:v>102.49973965696155</c:v>
                </c:pt>
                <c:pt idx="11">
                  <c:v>100.59607885064233</c:v>
                </c:pt>
                <c:pt idx="12">
                  <c:v>98.95005634492382</c:v>
                </c:pt>
                <c:pt idx="13">
                  <c:v>97.51157251393325</c:v>
                </c:pt>
                <c:pt idx="14">
                  <c:v>97.53713873918629</c:v>
                </c:pt>
                <c:pt idx="15">
                  <c:v>96.43403193886554</c:v>
                </c:pt>
                <c:pt idx="16">
                  <c:v>95.44243670658112</c:v>
                </c:pt>
                <c:pt idx="17">
                  <c:v>94.54547568629282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設備利用率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LCOH (円/Nm³)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15</xdr:col>
      <xdr:colOff>152400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12</xdr:col>
      <xdr:colOff>76200</xdr:colOff>
      <xdr:row>38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23</xdr:row>
      <xdr:rowOff>0</xdr:rowOff>
    </xdr:from>
    <xdr:to>
      <xdr:col>22</xdr:col>
      <xdr:colOff>457200</xdr:colOff>
      <xdr:row>38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showGridLines="0" workbookViewId="0"/>
  </sheetViews>
  <sheetFormatPr defaultRowHeight="15"/>
  <cols>
    <col min="1" max="1" width="30.7109375" customWidth="1"/>
    <col min="2" max="2" width="14.7109375" customWidth="1"/>
    <col min="3" max="3" width="11.7109375" customWidth="1"/>
    <col min="4" max="4" width="34.7109375" customWidth="1"/>
  </cols>
  <sheetData>
    <row r="1" spans="1:4">
      <c r="A1" s="1" t="s">
        <v>27</v>
      </c>
    </row>
    <row r="2" spans="1:4">
      <c r="A2" s="2" t="s">
        <v>28</v>
      </c>
    </row>
    <row r="3" spans="1:4">
      <c r="A3" s="3" t="s">
        <v>29</v>
      </c>
      <c r="B3" s="4" t="s">
        <v>30</v>
      </c>
      <c r="C3" s="5" t="s">
        <v>31</v>
      </c>
      <c r="D3" s="6" t="s">
        <v>32</v>
      </c>
    </row>
    <row r="5" spans="1:4">
      <c r="A5" s="7" t="s">
        <v>33</v>
      </c>
      <c r="B5" s="7"/>
      <c r="C5" s="7"/>
      <c r="D5" s="7"/>
    </row>
    <row r="6" spans="1:4">
      <c r="A6" s="8" t="s">
        <v>34</v>
      </c>
      <c r="B6" s="9" t="s">
        <v>24</v>
      </c>
      <c r="D6" s="3" t="s">
        <v>35</v>
      </c>
    </row>
    <row r="8" spans="1:4">
      <c r="A8" s="7" t="s">
        <v>36</v>
      </c>
      <c r="B8" s="7"/>
      <c r="C8" s="7"/>
      <c r="D8" s="7"/>
    </row>
    <row r="9" spans="1:4">
      <c r="A9" s="8" t="s">
        <v>37</v>
      </c>
      <c r="B9" s="10">
        <v>1000</v>
      </c>
      <c r="C9" s="11" t="s">
        <v>38</v>
      </c>
      <c r="D9" s="3" t="s">
        <v>39</v>
      </c>
    </row>
    <row r="11" spans="1:4">
      <c r="A11" s="7" t="s">
        <v>40</v>
      </c>
      <c r="B11" s="7"/>
      <c r="C11" s="7"/>
      <c r="D11" s="7"/>
    </row>
    <row r="12" spans="1:4">
      <c r="A12" s="8" t="s">
        <v>41</v>
      </c>
      <c r="B12" s="10">
        <v>165000</v>
      </c>
      <c r="C12" s="11" t="s">
        <v>42</v>
      </c>
      <c r="D12" s="3">
        <f>("参考("&amp;tech&amp;"): "&amp;TEXT(INDEX(presetCapex,MATCH(tech,presetNames,0)),"#,##0.###")&amp;" 円/kW")</f>
        <v>0</v>
      </c>
    </row>
    <row r="13" spans="1:4">
      <c r="A13" s="8" t="s">
        <v>43</v>
      </c>
      <c r="B13" s="12">
        <v>20</v>
      </c>
      <c r="C13" s="11" t="s">
        <v>44</v>
      </c>
      <c r="D13" s="3" t="s">
        <v>45</v>
      </c>
    </row>
    <row r="14" spans="1:4">
      <c r="A14" s="8" t="s">
        <v>46</v>
      </c>
      <c r="B14" s="12">
        <v>45</v>
      </c>
      <c r="C14" s="11" t="s">
        <v>44</v>
      </c>
      <c r="D14" s="3">
        <f>("参考("&amp;tech&amp;"): "&amp;TEXT(INDEX(presetStackShare,MATCH(tech,presetNames,0)),"#,##0.###")&amp;" %")</f>
        <v>0</v>
      </c>
    </row>
    <row r="16" spans="1:4">
      <c r="A16" s="7" t="s">
        <v>47</v>
      </c>
      <c r="B16" s="7"/>
      <c r="C16" s="7"/>
      <c r="D16" s="7"/>
    </row>
    <row r="17" spans="1:4">
      <c r="A17" s="8" t="s">
        <v>48</v>
      </c>
      <c r="B17" s="12">
        <v>46</v>
      </c>
      <c r="C17" s="11" t="s">
        <v>44</v>
      </c>
      <c r="D17" s="3" t="s">
        <v>49</v>
      </c>
    </row>
    <row r="18" spans="1:4">
      <c r="A18" s="8" t="s">
        <v>50</v>
      </c>
      <c r="B18" s="12">
        <v>20</v>
      </c>
      <c r="C18" s="11" t="s">
        <v>51</v>
      </c>
    </row>
    <row r="19" spans="1:4">
      <c r="A19" s="8" t="s">
        <v>52</v>
      </c>
      <c r="B19" s="12">
        <v>0</v>
      </c>
      <c r="C19" s="11" t="s">
        <v>53</v>
      </c>
      <c r="D19" s="3" t="s">
        <v>54</v>
      </c>
    </row>
    <row r="21" spans="1:4">
      <c r="A21" s="7" t="s">
        <v>55</v>
      </c>
      <c r="B21" s="7"/>
      <c r="C21" s="7"/>
      <c r="D21" s="7"/>
    </row>
    <row r="22" spans="1:4">
      <c r="A22" s="8" t="s">
        <v>56</v>
      </c>
      <c r="B22" s="12">
        <v>15</v>
      </c>
      <c r="C22" s="11" t="s">
        <v>57</v>
      </c>
      <c r="D22" s="3" t="s">
        <v>58</v>
      </c>
    </row>
    <row r="23" spans="1:4">
      <c r="A23" s="8" t="s">
        <v>59</v>
      </c>
      <c r="B23" s="12">
        <v>5</v>
      </c>
      <c r="C23" s="11" t="s">
        <v>60</v>
      </c>
      <c r="D23" s="3">
        <f>("参考("&amp;tech&amp;"): "&amp;TEXT(INDEX(presetSEC,MATCH(tech,presetNames,0)),"#,##0.###")&amp;" kWh/Nm³")</f>
        <v>0</v>
      </c>
    </row>
    <row r="25" spans="1:4">
      <c r="A25" s="7" t="s">
        <v>61</v>
      </c>
      <c r="B25" s="7"/>
      <c r="C25" s="7"/>
      <c r="D25" s="7"/>
    </row>
    <row r="26" spans="1:4">
      <c r="A26" s="8" t="s">
        <v>62</v>
      </c>
      <c r="B26" s="12">
        <v>3.5</v>
      </c>
      <c r="C26" s="11" t="s">
        <v>53</v>
      </c>
      <c r="D26" s="3">
        <f>("参考("&amp;tech&amp;"): "&amp;TEXT(INDEX(presetOM,MATCH(tech,presetNames,0)),"#,##0.###")&amp;" %/年")</f>
        <v>0</v>
      </c>
    </row>
    <row r="27" spans="1:4">
      <c r="A27" s="8" t="s">
        <v>63</v>
      </c>
      <c r="B27" s="12">
        <v>1.4</v>
      </c>
      <c r="C27" s="11" t="s">
        <v>64</v>
      </c>
    </row>
    <row r="28" spans="1:4">
      <c r="A28" s="8" t="s">
        <v>65</v>
      </c>
      <c r="B28" s="10">
        <v>300</v>
      </c>
      <c r="C28" s="11" t="s">
        <v>66</v>
      </c>
    </row>
    <row r="30" spans="1:4">
      <c r="A30" s="7" t="s">
        <v>67</v>
      </c>
      <c r="B30" s="7"/>
      <c r="C30" s="7"/>
      <c r="D30" s="7"/>
    </row>
    <row r="31" spans="1:4">
      <c r="A31" s="8" t="s">
        <v>68</v>
      </c>
      <c r="B31" s="10">
        <v>70000</v>
      </c>
      <c r="C31" s="11" t="s">
        <v>69</v>
      </c>
      <c r="D31" s="3">
        <f>("参考("&amp;tech&amp;"): "&amp;TEXT(INDEX(presetStackLife,MATCH(tech,presetNames,0)),"#,##0.###")&amp;" 時間(h)")</f>
        <v>0</v>
      </c>
    </row>
    <row r="33" spans="1:4">
      <c r="A33" s="7" t="s">
        <v>70</v>
      </c>
      <c r="B33" s="7"/>
      <c r="C33" s="7"/>
      <c r="D33" s="7"/>
    </row>
    <row r="34" spans="1:4">
      <c r="A34" s="8" t="s">
        <v>71</v>
      </c>
      <c r="B34" s="12">
        <v>7</v>
      </c>
      <c r="C34" s="11" t="s">
        <v>44</v>
      </c>
      <c r="D34" s="3" t="s">
        <v>72</v>
      </c>
    </row>
    <row r="35" spans="1:4">
      <c r="A35" s="8" t="s">
        <v>73</v>
      </c>
      <c r="B35" s="12">
        <v>150</v>
      </c>
      <c r="C35" s="11" t="s">
        <v>74</v>
      </c>
      <c r="D35" s="3" t="s">
        <v>75</v>
      </c>
    </row>
    <row r="37" spans="1:4">
      <c r="A37" s="7" t="s">
        <v>76</v>
      </c>
      <c r="B37" s="7"/>
      <c r="C37" s="7"/>
      <c r="D37" s="7"/>
    </row>
    <row r="38" spans="1:4">
      <c r="A38" s="8" t="s">
        <v>77</v>
      </c>
      <c r="B38" s="12">
        <v>0</v>
      </c>
      <c r="C38" s="11" t="s">
        <v>13</v>
      </c>
      <c r="D38" s="3" t="s">
        <v>78</v>
      </c>
    </row>
    <row r="39" spans="1:4">
      <c r="A39" s="8" t="s">
        <v>79</v>
      </c>
      <c r="B39" s="12">
        <v>0</v>
      </c>
      <c r="C39" s="11" t="s">
        <v>13</v>
      </c>
      <c r="D39" s="3" t="s">
        <v>78</v>
      </c>
    </row>
    <row r="41" spans="1:4">
      <c r="A41" s="7" t="s">
        <v>80</v>
      </c>
      <c r="B41" s="7"/>
      <c r="C41" s="7"/>
      <c r="D41" s="7"/>
    </row>
    <row r="42" spans="1:4">
      <c r="A42" s="8" t="s">
        <v>81</v>
      </c>
      <c r="B42" s="12">
        <v>0</v>
      </c>
      <c r="C42" s="11" t="s">
        <v>82</v>
      </c>
      <c r="D42" s="3" t="s">
        <v>83</v>
      </c>
    </row>
    <row r="43" spans="1:4">
      <c r="A43" s="8" t="s">
        <v>84</v>
      </c>
      <c r="B43" s="10">
        <v>50000000</v>
      </c>
      <c r="C43" s="11" t="s">
        <v>85</v>
      </c>
    </row>
    <row r="44" spans="1:4">
      <c r="A44" s="8" t="s">
        <v>86</v>
      </c>
      <c r="B44" s="12">
        <v>3</v>
      </c>
      <c r="C44" s="11" t="s">
        <v>7</v>
      </c>
    </row>
  </sheetData>
  <mergeCells count="10">
    <mergeCell ref="A5:D5"/>
    <mergeCell ref="A8:D8"/>
    <mergeCell ref="A11:D11"/>
    <mergeCell ref="A16:D16"/>
    <mergeCell ref="A21:D21"/>
    <mergeCell ref="A25:D25"/>
    <mergeCell ref="A30:D30"/>
    <mergeCell ref="A33:D33"/>
    <mergeCell ref="A37:D37"/>
    <mergeCell ref="A41:D41"/>
  </mergeCells>
  <dataValidations count="21">
    <dataValidation type="list" allowBlank="1" showInputMessage="1" showErrorMessage="1" promptTitle="方式" prompt="代表値を右列に参照表示します（入力欄は手動編集）" sqref="B6">
      <formula1>"アルカリ,PEM,SOEC,AEM"</formula1>
    </dataValidation>
    <dataValidation type="decimal" allowBlank="1" showInputMessage="1" showErrorMessage="1" error="範囲 10〜100000 で入力してください" promptTitle="定格電力" prompt="範囲: 10 〜 100000 kW" sqref="B9">
      <formula1>10</formula1>
      <formula2>100000</formula2>
    </dataValidation>
    <dataValidation type="decimal" allowBlank="1" showInputMessage="1" showErrorMessage="1" error="範囲 20000〜500000 で入力してください" promptTitle="システムCAPEX単価" prompt="範囲: 20000 〜 500000 円/kW" sqref="B12">
      <formula1>20000</formula1>
      <formula2>500000</formula2>
    </dataValidation>
    <dataValidation type="decimal" allowBlank="1" showInputMessage="1" showErrorMessage="1" error="範囲 0〜100 で入力してください" promptTitle="据付・建設係数" prompt="範囲: 0 〜 100 %" sqref="B13">
      <formula1>0</formula1>
      <formula2>100</formula2>
    </dataValidation>
    <dataValidation type="decimal" allowBlank="1" showInputMessage="1" showErrorMessage="1" error="範囲 10〜70 で入力してください" promptTitle="スタック比率（対システム）" prompt="範囲: 10 〜 70 %" sqref="B14">
      <formula1>10</formula1>
      <formula2>70</formula2>
    </dataValidation>
    <dataValidation type="decimal" allowBlank="1" showInputMessage="1" showErrorMessage="1" error="範囲 5〜95 で入力してください" promptTitle="設備利用率（稼働率）" prompt="範囲: 5 〜 95 %" sqref="B17">
      <formula1>5</formula1>
      <formula2>95</formula2>
    </dataValidation>
    <dataValidation type="decimal" allowBlank="1" showInputMessage="1" showErrorMessage="1" error="範囲 5〜30 で入力してください" promptTitle="設備寿命" prompt="範囲: 5 〜 30 年" sqref="B18">
      <formula1>5</formula1>
      <formula2>30</formula2>
    </dataValidation>
    <dataValidation type="decimal" allowBlank="1" showInputMessage="1" showErrorMessage="1" error="範囲 0〜3 で入力してください" promptTitle="劣化率（電力原単位の上昇）" prompt="範囲: 0 〜 3 %/年" sqref="B19">
      <formula1>0</formula1>
      <formula2>3</formula2>
    </dataValidation>
    <dataValidation type="decimal" allowBlank="1" showInputMessage="1" showErrorMessage="1" error="範囲 1〜40 で入力してください" promptTitle="電力単価" prompt="範囲: 1 〜 40 円/kWh" sqref="B22">
      <formula1>1</formula1>
      <formula2>40</formula2>
    </dataValidation>
    <dataValidation type="decimal" allowBlank="1" showInputMessage="1" showErrorMessage="1" error="範囲 3〜7 で入力してください" promptTitle="電力原単位（SEC）" prompt="範囲: 3 〜 7 kWh/Nm³" sqref="B23">
      <formula1>3</formula1>
      <formula2>7</formula2>
    </dataValidation>
    <dataValidation type="decimal" allowBlank="1" showInputMessage="1" showErrorMessage="1" error="範囲 0〜8 で入力してください" promptTitle="固定O&amp;M（対CAPEX）" prompt="範囲: 0 〜 8 %/年" sqref="B26">
      <formula1>0</formula1>
      <formula2>8</formula2>
    </dataValidation>
    <dataValidation type="decimal" allowBlank="1" showInputMessage="1" showErrorMessage="1" error="範囲 0〜5 で入力してください" promptTitle="水消費" prompt="範囲: 0 〜 5 L/Nm³" sqref="B27">
      <formula1>0</formula1>
      <formula2>5</formula2>
    </dataValidation>
    <dataValidation type="decimal" allowBlank="1" showInputMessage="1" showErrorMessage="1" error="範囲 0〜2000 で入力してください" promptTitle="水単価" prompt="範囲: 0 〜 2000 円/m³" sqref="B28">
      <formula1>0</formula1>
      <formula2>2000</formula2>
    </dataValidation>
    <dataValidation type="decimal" allowBlank="1" showInputMessage="1" showErrorMessage="1" error="範囲 10000〜120000 で入力してください" promptTitle="スタック寿命" prompt="範囲: 10000 〜 120000 時間(h)" sqref="B31">
      <formula1>10000</formula1>
      <formula2>120000</formula2>
    </dataValidation>
    <dataValidation type="decimal" allowBlank="1" showInputMessage="1" showErrorMessage="1" error="範囲 0〜15 で入力してください" promptTitle="割引率（WACC）" prompt="範囲: 0 〜 15 %" sqref="B34">
      <formula1>0</formula1>
      <formula2>15</formula2>
    </dataValidation>
    <dataValidation type="decimal" allowBlank="1" showInputMessage="1" showErrorMessage="1" error="範囲 80〜250 で入力してください" promptTitle="為替" prompt="範囲: 80 〜 250 円/$" sqref="B35">
      <formula1>80</formula1>
      <formula2>250</formula2>
    </dataValidation>
    <dataValidation type="decimal" allowBlank="1" showInputMessage="1" showErrorMessage="1" error="範囲 0〜100 で入力してください" promptTitle="補助金" prompt="範囲: 0 〜 100 円/Nm³" sqref="B38">
      <formula1>0</formula1>
      <formula2>100</formula2>
    </dataValidation>
    <dataValidation type="decimal" allowBlank="1" showInputMessage="1" showErrorMessage="1" error="範囲 0〜50 で入力してください" promptTitle="副生酸素 販売益" prompt="範囲: 0 〜 50 円/Nm³" sqref="B39">
      <formula1>0</formula1>
      <formula2>50</formula2>
    </dataValidation>
    <dataValidation type="decimal" allowBlank="1" showInputMessage="1" showErrorMessage="1" error="範囲 0〜1 で入力してください" promptTitle="圧縮・出荷を含める" prompt="範囲: 0 〜 1 1=含/0=否" sqref="B42">
      <formula1>0</formula1>
      <formula2>1</formula2>
    </dataValidation>
    <dataValidation type="decimal" allowBlank="1" showInputMessage="1" showErrorMessage="1" error="範囲 0〜2000000000 で入力してください" promptTitle="圧縮機等CAPEX（総額）" prompt="範囲: 0 〜 2000000000 円" sqref="B43">
      <formula1>0</formula1>
      <formula2>2000000000</formula2>
    </dataValidation>
    <dataValidation type="decimal" allowBlank="1" showInputMessage="1" showErrorMessage="1" error="範囲 0〜10 で入力してください" promptTitle="圧縮 電力原単位" prompt="範囲: 0 〜 10 kWh/kg" sqref="B44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showGridLines="0" tabSelected="1" workbookViewId="0"/>
  </sheetViews>
  <sheetFormatPr defaultRowHeight="15"/>
  <cols>
    <col min="1" max="1" width="18.7109375" customWidth="1"/>
    <col min="2" max="2" width="14.7109375" customWidth="1"/>
    <col min="3" max="3" width="12.7109375" customWidth="1"/>
    <col min="4" max="4" width="4.7109375" customWidth="1"/>
    <col min="5" max="8" width="13.7109375" customWidth="1"/>
  </cols>
  <sheetData>
    <row r="1" spans="1:6">
      <c r="A1" s="1" t="s">
        <v>145</v>
      </c>
    </row>
    <row r="2" spans="1:6">
      <c r="A2" s="2" t="s">
        <v>146</v>
      </c>
    </row>
    <row r="4" spans="1:6">
      <c r="A4" s="2" t="s">
        <v>147</v>
      </c>
    </row>
    <row r="5" spans="1:6">
      <c r="A5" s="13">
        <f>lcohNm3</f>
        <v>109.89426455387608</v>
      </c>
      <c r="C5" s="2" t="s">
        <v>13</v>
      </c>
    </row>
    <row r="6" spans="1:6">
      <c r="A6" s="2" t="s">
        <v>148</v>
      </c>
      <c r="B6" s="14">
        <f>lcohPerKg</f>
        <v>1223.123164484641</v>
      </c>
    </row>
    <row r="7" spans="1:6">
      <c r="A7" s="2" t="s">
        <v>149</v>
      </c>
      <c r="B7" s="15">
        <f>lcohUSD</f>
        <v>8.154154429897606</v>
      </c>
    </row>
    <row r="9" spans="1:6">
      <c r="A9" s="2" t="s">
        <v>150</v>
      </c>
      <c r="B9" s="16">
        <f>annualH2kg*NM3perKG</f>
        <v>805920.0</v>
      </c>
      <c r="C9" s="2" t="s">
        <v>151</v>
      </c>
    </row>
    <row r="10" spans="1:6">
      <c r="B10" s="17">
        <f>annualH2kg/1000</f>
        <v>72.40970350404312</v>
      </c>
      <c r="C10" s="2" t="s">
        <v>152</v>
      </c>
    </row>
    <row r="12" spans="1:6">
      <c r="A12" s="2" t="s">
        <v>153</v>
      </c>
      <c r="B12" s="18">
        <f>now_p_elec/grossPos</f>
        <v>0.6824741973975444</v>
      </c>
    </row>
    <row r="13" spans="1:6">
      <c r="A13" s="2" t="s">
        <v>154</v>
      </c>
      <c r="B13" s="19">
        <f>lcohNm3-target2030</f>
        <v>79.89426455387608</v>
      </c>
      <c r="C13" s="2" t="s">
        <v>13</v>
      </c>
    </row>
    <row r="16" spans="1:6">
      <c r="A16" s="20" t="s">
        <v>155</v>
      </c>
      <c r="B16" s="20" t="s">
        <v>13</v>
      </c>
      <c r="C16" s="20" t="s">
        <v>148</v>
      </c>
      <c r="D16" s="20"/>
      <c r="E16" s="20" t="s">
        <v>149</v>
      </c>
      <c r="F16" s="20" t="s">
        <v>156</v>
      </c>
    </row>
    <row r="17" spans="1:6">
      <c r="A17" s="21" t="s">
        <v>124</v>
      </c>
      <c r="B17" s="22">
        <f>now_p_capex/NM3perKG</f>
        <v>23.19063839731564</v>
      </c>
      <c r="C17" s="22">
        <f>now_p_capex</f>
        <v>258.1118053621231</v>
      </c>
      <c r="E17" s="23">
        <f>now_p_capex/fx</f>
        <v>1.7207453690808208</v>
      </c>
      <c r="F17" s="24">
        <f>now_p_capex/grossPos</f>
        <v>0.21102683103126224</v>
      </c>
    </row>
    <row r="18" spans="1:6">
      <c r="A18" s="21" t="s">
        <v>125</v>
      </c>
      <c r="B18" s="22">
        <f>now_p_stack/NM3perKG</f>
        <v>2.684757782528279</v>
      </c>
      <c r="C18" s="22">
        <f>now_p_stack</f>
        <v>29.881354119539747</v>
      </c>
      <c r="E18" s="23">
        <f>now_p_stack/fx</f>
        <v>0.1992090274635983</v>
      </c>
      <c r="F18" s="24">
        <f>now_p_stack/grossPos</f>
        <v>0.024430372171170646</v>
      </c>
    </row>
    <row r="19" spans="1:6">
      <c r="A19" s="21" t="s">
        <v>126</v>
      </c>
      <c r="B19" s="22">
        <f>now_p_om/NM3perKG</f>
        <v>8.598868374032161</v>
      </c>
      <c r="C19" s="22">
        <f>now_p_om</f>
        <v>95.70540500297797</v>
      </c>
      <c r="E19" s="23">
        <f>now_p_om/fx</f>
        <v>0.6380360333531865</v>
      </c>
      <c r="F19" s="24">
        <f>now_p_om/grossPos</f>
        <v>0.07824674389459636</v>
      </c>
    </row>
    <row r="20" spans="1:6">
      <c r="A20" s="21" t="s">
        <v>127</v>
      </c>
      <c r="B20" s="22">
        <f>now_p_elec/NM3perKG</f>
        <v>75.0</v>
      </c>
      <c r="C20" s="22">
        <f>now_p_elec</f>
        <v>834.7500000000001</v>
      </c>
      <c r="E20" s="23">
        <f>now_p_elec/fx</f>
        <v>5.565</v>
      </c>
      <c r="F20" s="24">
        <f>now_p_elec/grossPos</f>
        <v>0.6824741973975444</v>
      </c>
    </row>
    <row r="21" spans="1:6">
      <c r="A21" s="21" t="s">
        <v>128</v>
      </c>
      <c r="B21" s="22">
        <f>now_p_water/NM3perKG</f>
        <v>0.42</v>
      </c>
      <c r="C21" s="22">
        <f>now_p_water</f>
        <v>4.6746</v>
      </c>
      <c r="E21" s="23">
        <f>now_p_water/fx</f>
        <v>0.031164</v>
      </c>
      <c r="F21" s="24">
        <f>now_p_water/grossPos</f>
        <v>0.0038218555054262485</v>
      </c>
    </row>
    <row r="22" spans="1:6">
      <c r="A22" s="21" t="s">
        <v>129</v>
      </c>
      <c r="B22" s="22">
        <f>now_p_compr/NM3perKG</f>
        <v>0.0</v>
      </c>
      <c r="C22" s="22">
        <f>now_p_compr</f>
        <v>0.0</v>
      </c>
      <c r="E22" s="23">
        <f>now_p_compr/fx</f>
        <v>0.0</v>
      </c>
      <c r="F22" s="24">
        <f>now_p_compr/grossPos</f>
        <v>0.0</v>
      </c>
    </row>
    <row r="23" spans="1:6">
      <c r="A23" s="21" t="s">
        <v>77</v>
      </c>
      <c r="B23" s="22">
        <f>now_p_subsidy/NM3perKG</f>
        <v>-0.0</v>
      </c>
      <c r="C23" s="22">
        <f>now_p_subsidy</f>
        <v>-0.0</v>
      </c>
      <c r="E23" s="23">
        <f>now_p_subsidy/fx</f>
        <v>-0.0</v>
      </c>
      <c r="F23" s="24">
        <f>now_p_subsidy/grossPos</f>
        <v>-0.0</v>
      </c>
    </row>
    <row r="24" spans="1:6">
      <c r="A24" s="21" t="s">
        <v>130</v>
      </c>
      <c r="B24" s="22">
        <f>now_p_o2/NM3perKG</f>
        <v>-0.0</v>
      </c>
      <c r="C24" s="22">
        <f>now_p_o2</f>
        <v>-0.0</v>
      </c>
      <c r="E24" s="23">
        <f>now_p_o2/fx</f>
        <v>-0.0</v>
      </c>
      <c r="F24" s="24">
        <f>now_p_o2/grossPos</f>
        <v>-0.0</v>
      </c>
    </row>
    <row r="25" spans="1:6">
      <c r="A25" s="25" t="s">
        <v>157</v>
      </c>
      <c r="B25" s="26">
        <f>lcohNm3</f>
        <v>109.89426455387608</v>
      </c>
      <c r="C25" s="26">
        <f>lcohPerKg</f>
        <v>1223.123164484641</v>
      </c>
      <c r="E25" s="27">
        <f>lcohUSD</f>
        <v>8.154154429897606</v>
      </c>
      <c r="F25" s="2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showGridLines="0" workbookViewId="0"/>
  </sheetViews>
  <sheetFormatPr defaultRowHeight="15"/>
  <cols>
    <col min="1" max="1" width="24.7109375" customWidth="1"/>
    <col min="2" max="2" width="16.7109375" customWidth="1"/>
    <col min="3" max="3" width="12.7109375" customWidth="1"/>
    <col min="4" max="7" width="16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7" t="s">
        <v>2</v>
      </c>
      <c r="B4" s="7"/>
      <c r="C4" s="7"/>
      <c r="D4" s="7"/>
    </row>
    <row r="5" spans="1:6">
      <c r="A5" s="8" t="s">
        <v>3</v>
      </c>
      <c r="B5" s="28">
        <v>11.13</v>
      </c>
      <c r="C5" s="11" t="s">
        <v>4</v>
      </c>
      <c r="D5" s="3" t="s">
        <v>5</v>
      </c>
    </row>
    <row r="6" spans="1:6">
      <c r="A6" s="8" t="s">
        <v>6</v>
      </c>
      <c r="B6" s="28">
        <v>39.4</v>
      </c>
      <c r="C6" s="11" t="s">
        <v>7</v>
      </c>
      <c r="D6" s="3" t="s">
        <v>8</v>
      </c>
    </row>
    <row r="7" spans="1:6">
      <c r="A7" s="8" t="s">
        <v>9</v>
      </c>
      <c r="B7" s="29">
        <v>8760</v>
      </c>
      <c r="C7" s="11" t="s">
        <v>10</v>
      </c>
      <c r="D7" s="3" t="s">
        <v>11</v>
      </c>
    </row>
    <row r="8" spans="1:6">
      <c r="A8" s="8" t="s">
        <v>12</v>
      </c>
      <c r="B8" s="28">
        <v>30</v>
      </c>
      <c r="C8" s="11" t="s">
        <v>13</v>
      </c>
      <c r="D8" s="3" t="s">
        <v>14</v>
      </c>
    </row>
    <row r="9" spans="1:6">
      <c r="A9" s="8" t="s">
        <v>15</v>
      </c>
      <c r="B9" s="28">
        <v>20</v>
      </c>
      <c r="C9" s="11" t="s">
        <v>13</v>
      </c>
      <c r="D9" s="3" t="s">
        <v>14</v>
      </c>
    </row>
    <row r="11" spans="1:6">
      <c r="A11" s="7" t="s">
        <v>16</v>
      </c>
      <c r="B11" s="7"/>
      <c r="C11" s="7"/>
      <c r="D11" s="7"/>
      <c r="E11" s="7"/>
      <c r="F11" s="7"/>
    </row>
    <row r="12" spans="1:6">
      <c r="A12" s="20" t="s">
        <v>17</v>
      </c>
      <c r="B12" s="20" t="s">
        <v>18</v>
      </c>
      <c r="C12" s="20" t="s">
        <v>19</v>
      </c>
      <c r="D12" s="20" t="s">
        <v>20</v>
      </c>
      <c r="E12" s="20" t="s">
        <v>21</v>
      </c>
      <c r="F12" s="20" t="s">
        <v>22</v>
      </c>
    </row>
    <row r="13" spans="1:6">
      <c r="A13" s="21" t="s">
        <v>23</v>
      </c>
      <c r="B13" s="29">
        <v>130000</v>
      </c>
      <c r="C13" s="28">
        <v>4.8</v>
      </c>
      <c r="D13" s="28">
        <v>35</v>
      </c>
      <c r="E13" s="29">
        <v>80000</v>
      </c>
      <c r="F13" s="28">
        <v>3</v>
      </c>
    </row>
    <row r="14" spans="1:6">
      <c r="A14" s="21" t="s">
        <v>24</v>
      </c>
      <c r="B14" s="29">
        <v>165000</v>
      </c>
      <c r="C14" s="28">
        <v>5</v>
      </c>
      <c r="D14" s="28">
        <v>45</v>
      </c>
      <c r="E14" s="29">
        <v>70000</v>
      </c>
      <c r="F14" s="28">
        <v>3.5</v>
      </c>
    </row>
    <row r="15" spans="1:6">
      <c r="A15" s="21" t="s">
        <v>25</v>
      </c>
      <c r="B15" s="29">
        <v>330000</v>
      </c>
      <c r="C15" s="28">
        <v>3.8</v>
      </c>
      <c r="D15" s="28">
        <v>50</v>
      </c>
      <c r="E15" s="29">
        <v>40000</v>
      </c>
      <c r="F15" s="28">
        <v>4</v>
      </c>
    </row>
    <row r="16" spans="1:6">
      <c r="A16" s="21" t="s">
        <v>26</v>
      </c>
      <c r="B16" s="29">
        <v>140000</v>
      </c>
      <c r="C16" s="28">
        <v>4.8</v>
      </c>
      <c r="D16" s="28">
        <v>40</v>
      </c>
      <c r="E16" s="29">
        <v>30000</v>
      </c>
      <c r="F16" s="28">
        <v>3</v>
      </c>
    </row>
  </sheetData>
  <mergeCells count="2">
    <mergeCell ref="A4:D4"/>
    <mergeCell ref="A11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69"/>
  <sheetViews>
    <sheetView showGridLines="0" workbookViewId="0"/>
  </sheetViews>
  <sheetFormatPr defaultRowHeight="15"/>
  <cols>
    <col min="1" max="1" width="26.7109375" customWidth="1"/>
    <col min="2" max="2" width="3.7109375" customWidth="1"/>
    <col min="3" max="9" width="14.7109375" customWidth="1"/>
  </cols>
  <sheetData>
    <row r="1" spans="1:7">
      <c r="A1" s="1" t="s">
        <v>87</v>
      </c>
    </row>
    <row r="2" spans="1:7">
      <c r="A2" s="2" t="s">
        <v>88</v>
      </c>
    </row>
    <row r="4" spans="1:7">
      <c r="A4" s="20" t="s">
        <v>90</v>
      </c>
      <c r="C4" s="20" t="s">
        <v>89</v>
      </c>
      <c r="D4" s="20" t="s">
        <v>23</v>
      </c>
      <c r="E4" s="20" t="s">
        <v>24</v>
      </c>
      <c r="F4" s="20" t="s">
        <v>25</v>
      </c>
      <c r="G4" s="20" t="s">
        <v>26</v>
      </c>
    </row>
    <row r="5" spans="1:7">
      <c r="A5" s="8" t="s">
        <v>91</v>
      </c>
      <c r="C5" s="30">
        <f>wacc/100</f>
        <v>0.07</v>
      </c>
      <c r="D5" s="30">
        <f>wacc/100</f>
        <v>0.07</v>
      </c>
      <c r="E5" s="30">
        <f>wacc/100</f>
        <v>0.07</v>
      </c>
      <c r="F5" s="30">
        <f>wacc/100</f>
        <v>0.07</v>
      </c>
      <c r="G5" s="30">
        <f>wacc/100</f>
        <v>0.07</v>
      </c>
    </row>
    <row r="6" spans="1:7">
      <c r="A6" s="8" t="s">
        <v>92</v>
      </c>
      <c r="C6" s="30">
        <f>lifetime</f>
        <v>20</v>
      </c>
      <c r="D6" s="30">
        <f>lifetime</f>
        <v>20</v>
      </c>
      <c r="E6" s="30">
        <f>lifetime</f>
        <v>20</v>
      </c>
      <c r="F6" s="30">
        <f>lifetime</f>
        <v>20</v>
      </c>
      <c r="G6" s="30">
        <f>lifetime</f>
        <v>20</v>
      </c>
    </row>
    <row r="7" spans="1:7">
      <c r="A7" s="8" t="s">
        <v>93</v>
      </c>
      <c r="C7" s="30">
        <f>IF(C5&lt;=0,1/C6,C5*(1+C5)^C6/((1+C5)^C6-1))</f>
        <v>0.09439292574325567</v>
      </c>
      <c r="D7" s="30">
        <f>IF(D5&lt;=0,1/D6,D5*(1+D5)^D6/((1+D5)^D6-1))</f>
        <v>0.09439292574325567</v>
      </c>
      <c r="E7" s="30">
        <f>IF(E5&lt;=0,1/E6,E5*(1+E5)^E6/((1+E5)^E6-1))</f>
        <v>0.09439292574325567</v>
      </c>
      <c r="F7" s="30">
        <f>IF(F5&lt;=0,1/F6,F5*(1+F5)^F6/((1+F5)^F6-1))</f>
        <v>0.09439292574325567</v>
      </c>
      <c r="G7" s="30">
        <f>IF(G5&lt;=0,1/G6,G5*(1+G5)^G6/((1+G5)^G6-1))</f>
        <v>0.09439292574325567</v>
      </c>
    </row>
    <row r="8" spans="1:7">
      <c r="A8" s="8" t="s">
        <v>94</v>
      </c>
      <c r="C8" s="30">
        <f>cf/100*hoursPerYear</f>
        <v>4029.6000000000004</v>
      </c>
      <c r="D8" s="30">
        <f>cf/100*hoursPerYear</f>
        <v>4029.6000000000004</v>
      </c>
      <c r="E8" s="30">
        <f>cf/100*hoursPerYear</f>
        <v>4029.6000000000004</v>
      </c>
      <c r="F8" s="30">
        <f>cf/100*hoursPerYear</f>
        <v>4029.6000000000004</v>
      </c>
      <c r="G8" s="30">
        <f>cf/100*hoursPerYear</f>
        <v>4029.6000000000004</v>
      </c>
    </row>
    <row r="9" spans="1:7">
      <c r="A9" s="8" t="s">
        <v>95</v>
      </c>
      <c r="C9" s="30">
        <f>secNm3*NM3perKG</f>
        <v>55.650000000000006</v>
      </c>
      <c r="D9" s="30">
        <f>'定数・前提'!$C$13*NM3perKG</f>
        <v>53.424</v>
      </c>
      <c r="E9" s="30">
        <f>'定数・前提'!$C$14*NM3perKG</f>
        <v>55.650000000000006</v>
      </c>
      <c r="F9" s="30">
        <f>'定数・前提'!$C$15*NM3perKG</f>
        <v>42.294000000000004</v>
      </c>
      <c r="G9" s="30">
        <f>'定数・前提'!$C$16*NM3perKG</f>
        <v>53.424</v>
      </c>
    </row>
    <row r="10" spans="1:7">
      <c r="A10" s="8" t="s">
        <v>96</v>
      </c>
      <c r="C10" s="30">
        <f>1+(degradation/100)*(C6/2)</f>
        <v>1.0</v>
      </c>
      <c r="D10" s="30">
        <f>1+(degradation/100)*(D6/2)</f>
        <v>1.0</v>
      </c>
      <c r="E10" s="30">
        <f>1+(degradation/100)*(E6/2)</f>
        <v>1.0</v>
      </c>
      <c r="F10" s="30">
        <f>1+(degradation/100)*(F6/2)</f>
        <v>1.0</v>
      </c>
      <c r="G10" s="30">
        <f>1+(degradation/100)*(G6/2)</f>
        <v>1.0</v>
      </c>
    </row>
    <row r="11" spans="1:7">
      <c r="A11" s="8" t="s">
        <v>97</v>
      </c>
      <c r="C11" s="30">
        <f>C9*C10</f>
        <v>55.650000000000006</v>
      </c>
      <c r="D11" s="30">
        <f>D9*D10</f>
        <v>53.424</v>
      </c>
      <c r="E11" s="30">
        <f>E9*E10</f>
        <v>55.650000000000006</v>
      </c>
      <c r="F11" s="30">
        <f>F9*F10</f>
        <v>42.294000000000004</v>
      </c>
      <c r="G11" s="30">
        <f>G9*G10</f>
        <v>53.424</v>
      </c>
    </row>
    <row r="12" spans="1:7">
      <c r="A12" s="8" t="s">
        <v>98</v>
      </c>
      <c r="C12" s="30">
        <f>IF(C8&gt;0,capacityKW*C8/C11,0)</f>
        <v>72409.70350404312</v>
      </c>
      <c r="D12" s="30">
        <f>IF(D8&gt;0,capacityKW*D8/D11,0)</f>
        <v>75426.77448337826</v>
      </c>
      <c r="E12" s="30">
        <f>IF(E8&gt;0,capacityKW*E8/E11,0)</f>
        <v>72409.70350404312</v>
      </c>
      <c r="F12" s="30">
        <f>IF(F8&gt;0,capacityKW*F8/F11,0)</f>
        <v>95275.92566321464</v>
      </c>
      <c r="G12" s="30">
        <f>IF(G8&gt;0,capacityKW*G8/G11,0)</f>
        <v>75426.77448337826</v>
      </c>
    </row>
    <row r="13" spans="1:7">
      <c r="A13" s="8" t="s">
        <v>99</v>
      </c>
      <c r="C13" s="30">
        <f>capacityKW*capexPerKW</f>
        <v>165000000</v>
      </c>
      <c r="D13" s="30">
        <f>capacityKW*'定数・前提'!$B$13</f>
        <v>130000000</v>
      </c>
      <c r="E13" s="30">
        <f>capacityKW*'定数・前提'!$B$14</f>
        <v>165000000</v>
      </c>
      <c r="F13" s="30">
        <f>capacityKW*'定数・前提'!$B$15</f>
        <v>330000000</v>
      </c>
      <c r="G13" s="30">
        <f>capacityKW*'定数・前提'!$B$16</f>
        <v>140000000</v>
      </c>
    </row>
    <row r="14" spans="1:7">
      <c r="A14" s="8" t="s">
        <v>100</v>
      </c>
      <c r="C14" s="30">
        <f>C13*(1+installFactor/100)</f>
        <v>198000000.0</v>
      </c>
      <c r="D14" s="30">
        <f>D13*(1+installFactor/100)</f>
        <v>156000000.0</v>
      </c>
      <c r="E14" s="30">
        <f>E13*(1+installFactor/100)</f>
        <v>198000000.0</v>
      </c>
      <c r="F14" s="30">
        <f>F13*(1+installFactor/100)</f>
        <v>396000000.0</v>
      </c>
      <c r="G14" s="30">
        <f>G13*(1+installFactor/100)</f>
        <v>168000000.0</v>
      </c>
    </row>
    <row r="15" spans="1:7">
      <c r="A15" s="8" t="s">
        <v>101</v>
      </c>
      <c r="C15" s="30">
        <f>C14*C7</f>
        <v>18689799.297164623</v>
      </c>
      <c r="D15" s="30">
        <f>D14*D7</f>
        <v>14725296.415947884</v>
      </c>
      <c r="E15" s="30">
        <f>E14*E7</f>
        <v>18689799.297164623</v>
      </c>
      <c r="F15" s="30">
        <f>F14*F7</f>
        <v>37379598.594329245</v>
      </c>
      <c r="G15" s="30">
        <f>G14*G7</f>
        <v>15858011.524866952</v>
      </c>
    </row>
    <row r="16" spans="1:7">
      <c r="A16" s="8" t="s">
        <v>102</v>
      </c>
      <c r="C16" s="30">
        <f>C14*omPct/100</f>
        <v>6930000.0</v>
      </c>
      <c r="D16" s="30">
        <f>D14*'定数・前提'!$F$13/100</f>
        <v>4680000.0</v>
      </c>
      <c r="E16" s="30">
        <f>E14*'定数・前提'!$F$14/100</f>
        <v>6930000.0</v>
      </c>
      <c r="F16" s="30">
        <f>F14*'定数・前提'!$F$15/100</f>
        <v>15840000.0</v>
      </c>
      <c r="G16" s="30">
        <f>G14*'定数・前提'!$F$16/100</f>
        <v>5040000.0</v>
      </c>
    </row>
    <row r="17" spans="1:7">
      <c r="A17" s="8" t="s">
        <v>103</v>
      </c>
      <c r="C17" s="30">
        <f>C13*stackShare/100</f>
        <v>74250000.0</v>
      </c>
      <c r="D17" s="30">
        <f>D13*'定数・前提'!$D$13/100</f>
        <v>45500000.0</v>
      </c>
      <c r="E17" s="30">
        <f>E13*'定数・前提'!$D$14/100</f>
        <v>74250000.0</v>
      </c>
      <c r="F17" s="30">
        <f>F13*'定数・前提'!$D$15/100</f>
        <v>165000000.0</v>
      </c>
      <c r="G17" s="30">
        <f>G13*'定数・前提'!$D$16/100</f>
        <v>56000000.0</v>
      </c>
    </row>
    <row r="18" spans="1:7">
      <c r="A18" s="8" t="s">
        <v>104</v>
      </c>
      <c r="C18" s="30">
        <f>IF(C8&gt;0,stackLifeH/C8,1E+09)</f>
        <v>17.371451260671034</v>
      </c>
      <c r="D18" s="30">
        <f>IF(D8&gt;0,'定数・前提'!$E$13/D8,1E+09)</f>
        <v>19.85308715505261</v>
      </c>
      <c r="E18" s="30">
        <f>IF(E8&gt;0,'定数・前提'!$E$14/E8,1E+09)</f>
        <v>17.371451260671034</v>
      </c>
      <c r="F18" s="30">
        <f>IF(F8&gt;0,'定数・前提'!$E$15/F8,1E+09)</f>
        <v>9.926543577526305</v>
      </c>
      <c r="G18" s="30">
        <f>IF(G8&gt;0,'定数・前提'!$E$16/G8,1E+09)</f>
        <v>7.444907683144728</v>
      </c>
    </row>
    <row r="19" spans="1:7">
      <c r="A19" s="8" t="s">
        <v>105</v>
      </c>
      <c r="C19" s="30">
        <f>MAX(0,CEILING(C6/C18,1)-1)</f>
        <v>1</v>
      </c>
      <c r="D19" s="30">
        <f>MAX(0,CEILING(D6/D18,1)-1)</f>
        <v>1</v>
      </c>
      <c r="E19" s="30">
        <f>MAX(0,CEILING(E6/E18,1)-1)</f>
        <v>1</v>
      </c>
      <c r="F19" s="30">
        <f>MAX(0,CEILING(F6/F18,1)-1)</f>
        <v>2</v>
      </c>
      <c r="G19" s="30">
        <f>MAX(0,CEILING(G6/G18,1)-1)</f>
        <v>2</v>
      </c>
    </row>
    <row r="20" spans="1:7">
      <c r="A20" s="8" t="s">
        <v>106</v>
      </c>
      <c r="C20" s="30">
        <f>(1+C5)^(-C18)</f>
        <v>0.30871742140443986</v>
      </c>
      <c r="D20" s="30">
        <f>(1+D5)^(-D18)</f>
        <v>0.261000476773241</v>
      </c>
      <c r="E20" s="30">
        <f>(1+E5)^(-E18)</f>
        <v>0.30871742140443986</v>
      </c>
      <c r="F20" s="30">
        <f>(1+F5)^(-F18)</f>
        <v>0.5108820575957244</v>
      </c>
      <c r="G20" s="30">
        <f>(1+G5)^(-G18)</f>
        <v>0.6042831546234041</v>
      </c>
    </row>
    <row r="21" spans="1:7">
      <c r="A21" s="8" t="s">
        <v>107</v>
      </c>
      <c r="C21" s="30">
        <f>IF(C5&lt;=0,C17*C19,IF(C19&lt;=0,0,C17*C20*(1-C20^C19)/(1-C20)))</f>
        <v>22922268.539279662</v>
      </c>
      <c r="D21" s="30">
        <f>IF(D5&lt;=0,D17*D19,IF(D19&lt;=0,0,D17*D20*(1-D20^D19)/(1-D20)))</f>
        <v>11875521.693182465</v>
      </c>
      <c r="E21" s="30">
        <f>IF(E5&lt;=0,E17*E19,IF(E19&lt;=0,0,E17*E20*(1-E20^E19)/(1-E20)))</f>
        <v>22922268.539279662</v>
      </c>
      <c r="F21" s="30">
        <f>IF(F5&lt;=0,F17*F19,IF(F19&lt;=0,0,F17*F20*(1-F20^F19)/(1-F20)))</f>
        <v>127360618.17087929</v>
      </c>
      <c r="G21" s="30">
        <f>IF(G5&lt;=0,G17*G19,IF(G19&lt;=0,0,G17*G20*(1-G20^G19)/(1-G20)))</f>
        <v>54288711.99276094</v>
      </c>
    </row>
    <row r="22" spans="1:7">
      <c r="A22" s="8" t="s">
        <v>108</v>
      </c>
      <c r="C22" s="30">
        <f>C21*C7</f>
        <v>2163699.9920951906</v>
      </c>
      <c r="D22" s="30">
        <f>D21*D7</f>
        <v>1120965.2373469942</v>
      </c>
      <c r="E22" s="30">
        <f>E21*E7</f>
        <v>2163699.9920951906</v>
      </c>
      <c r="F22" s="30">
        <f>F21*F7</f>
        <v>12021941.373618947</v>
      </c>
      <c r="G22" s="30">
        <f>G21*G7</f>
        <v>5124470.359829677</v>
      </c>
    </row>
    <row r="23" spans="1:7">
      <c r="A23" s="8" t="s">
        <v>109</v>
      </c>
      <c r="C23" s="30">
        <f>IF(inclCompr=1,IF(C12&gt;0,(comprCapex*C7+comprCapex*omPct/100)/C12,0)+elecPrice*comprSEC,0)</f>
        <v>0.0</v>
      </c>
      <c r="D23" s="30">
        <f>IF(inclCompr=1,IF(D12&gt;0,(comprCapex*D7+comprCapex*'定数・前提'!$F$13/100)/D12,0)+elecPrice*comprSEC,0)</f>
        <v>0.0</v>
      </c>
      <c r="E23" s="30">
        <f>IF(inclCompr=1,IF(E12&gt;0,(comprCapex*E7+comprCapex*'定数・前提'!$F$14/100)/E12,0)+elecPrice*comprSEC,0)</f>
        <v>0.0</v>
      </c>
      <c r="F23" s="30">
        <f>IF(inclCompr=1,IF(F12&gt;0,(comprCapex*F7+comprCapex*'定数・前提'!$F$15/100)/F12,0)+elecPrice*comprSEC,0)</f>
        <v>0.0</v>
      </c>
      <c r="G23" s="30">
        <f>IF(inclCompr=1,IF(G12&gt;0,(comprCapex*G7+comprCapex*'定数・前提'!$F$16/100)/G12,0)+elecPrice*comprSEC,0)</f>
        <v>0.0</v>
      </c>
    </row>
    <row r="24" spans="1:7">
      <c r="A24" s="8" t="s">
        <v>110</v>
      </c>
      <c r="C24" s="31">
        <f>IF(C12&gt;0,C15/C12,0)</f>
        <v>258.1118053621231</v>
      </c>
      <c r="D24" s="31">
        <f>IF(D12&gt;0,D15/D12,0)</f>
        <v>195.22638369207854</v>
      </c>
      <c r="E24" s="31">
        <f>IF(E12&gt;0,E15/E12,0)</f>
        <v>258.1118053621231</v>
      </c>
      <c r="F24" s="31">
        <f>IF(F12&gt;0,F15/F12,0)</f>
        <v>392.3299441504271</v>
      </c>
      <c r="G24" s="31">
        <f>IF(G12&gt;0,G15/G12,0)</f>
        <v>210.24379782223843</v>
      </c>
    </row>
    <row r="25" spans="1:7">
      <c r="A25" s="8" t="s">
        <v>111</v>
      </c>
      <c r="C25" s="31">
        <f>IF(C12&gt;0,C22/C12,0)</f>
        <v>29.881354119539747</v>
      </c>
      <c r="D25" s="31">
        <f>IF(D12&gt;0,D22/D12,0)</f>
        <v>14.861635606518218</v>
      </c>
      <c r="E25" s="31">
        <f>IF(E12&gt;0,E22/E12,0)</f>
        <v>29.881354119539747</v>
      </c>
      <c r="F25" s="31">
        <f>IF(F12&gt;0,F22/F12,0)</f>
        <v>126.18026316652764</v>
      </c>
      <c r="G25" s="31">
        <f>IF(G12&gt;0,G22/G12,0)</f>
        <v>67.9396725490224</v>
      </c>
    </row>
    <row r="26" spans="1:7">
      <c r="A26" s="8" t="s">
        <v>112</v>
      </c>
      <c r="C26" s="31">
        <f>IF(C12&gt;0,C16/C12,0)</f>
        <v>95.70540500297797</v>
      </c>
      <c r="D26" s="31">
        <f>IF(D12&gt;0,D16/D12,0)</f>
        <v>62.04693269803454</v>
      </c>
      <c r="E26" s="31">
        <f>IF(E12&gt;0,E16/E12,0)</f>
        <v>95.70540500297797</v>
      </c>
      <c r="F26" s="31">
        <f>IF(F12&gt;0,F16/F12,0)</f>
        <v>166.25396069088742</v>
      </c>
      <c r="G26" s="31">
        <f>IF(G12&gt;0,G16/G12,0)</f>
        <v>66.81977367480643</v>
      </c>
    </row>
    <row r="27" spans="1:7">
      <c r="A27" s="8" t="s">
        <v>113</v>
      </c>
      <c r="C27" s="31">
        <f>elecPrice*C11</f>
        <v>834.7500000000001</v>
      </c>
      <c r="D27" s="31">
        <f>elecPrice*D11</f>
        <v>801.36</v>
      </c>
      <c r="E27" s="31">
        <f>elecPrice*E11</f>
        <v>834.7500000000001</v>
      </c>
      <c r="F27" s="31">
        <f>elecPrice*F11</f>
        <v>634.4100000000001</v>
      </c>
      <c r="G27" s="31">
        <f>elecPrice*G11</f>
        <v>801.36</v>
      </c>
    </row>
    <row r="28" spans="1:7">
      <c r="A28" s="8" t="s">
        <v>114</v>
      </c>
      <c r="C28" s="31">
        <f>waterUse*waterPrice/1000*NM3perKG</f>
        <v>4.6746</v>
      </c>
      <c r="D28" s="31">
        <f>waterUse*waterPrice/1000*NM3perKG</f>
        <v>4.6746</v>
      </c>
      <c r="E28" s="31">
        <f>waterUse*waterPrice/1000*NM3perKG</f>
        <v>4.6746</v>
      </c>
      <c r="F28" s="31">
        <f>waterUse*waterPrice/1000*NM3perKG</f>
        <v>4.6746</v>
      </c>
      <c r="G28" s="31">
        <f>waterUse*waterPrice/1000*NM3perKG</f>
        <v>4.6746</v>
      </c>
    </row>
    <row r="29" spans="1:7">
      <c r="A29" s="8" t="s">
        <v>115</v>
      </c>
      <c r="C29" s="31">
        <f>C23</f>
        <v>0.0</v>
      </c>
      <c r="D29" s="31">
        <f>D23</f>
        <v>0.0</v>
      </c>
      <c r="E29" s="31">
        <f>E23</f>
        <v>0.0</v>
      </c>
      <c r="F29" s="31">
        <f>F23</f>
        <v>0.0</v>
      </c>
      <c r="G29" s="31">
        <f>G23</f>
        <v>0.0</v>
      </c>
    </row>
    <row r="30" spans="1:7">
      <c r="A30" s="8" t="s">
        <v>116</v>
      </c>
      <c r="C30" s="30">
        <f>-(subsidy*NM3perKG)</f>
        <v>-0.0</v>
      </c>
      <c r="D30" s="30">
        <f>-(subsidy*NM3perKG)</f>
        <v>-0.0</v>
      </c>
      <c r="E30" s="30">
        <f>-(subsidy*NM3perKG)</f>
        <v>-0.0</v>
      </c>
      <c r="F30" s="30">
        <f>-(subsidy*NM3perKG)</f>
        <v>-0.0</v>
      </c>
      <c r="G30" s="30">
        <f>-(subsidy*NM3perKG)</f>
        <v>-0.0</v>
      </c>
    </row>
    <row r="31" spans="1:7">
      <c r="A31" s="8" t="s">
        <v>117</v>
      </c>
      <c r="C31" s="30">
        <f>-(o2Credit*NM3perKG)</f>
        <v>-0.0</v>
      </c>
      <c r="D31" s="30">
        <f>-(o2Credit*NM3perKG)</f>
        <v>-0.0</v>
      </c>
      <c r="E31" s="30">
        <f>-(o2Credit*NM3perKG)</f>
        <v>-0.0</v>
      </c>
      <c r="F31" s="30">
        <f>-(o2Credit*NM3perKG)</f>
        <v>-0.0</v>
      </c>
      <c r="G31" s="30">
        <f>-(o2Credit*NM3perKG)</f>
        <v>-0.0</v>
      </c>
    </row>
    <row r="32" spans="1:7">
      <c r="A32" s="8" t="s">
        <v>118</v>
      </c>
      <c r="C32" s="30">
        <f>C24+C25+C26+C27+C28+C29</f>
        <v>1223.123164484641</v>
      </c>
      <c r="D32" s="30">
        <f>D24+D25+D26+D27+D28+D29</f>
        <v>1078.1695519966313</v>
      </c>
      <c r="E32" s="30">
        <f>E24+E25+E26+E27+E28+E29</f>
        <v>1223.123164484641</v>
      </c>
      <c r="F32" s="30">
        <f>F24+F25+F26+F27+F28+F29</f>
        <v>1323.8487680078422</v>
      </c>
      <c r="G32" s="30">
        <f>G24+G25+G26+G27+G28+G29</f>
        <v>1151.0378440460674</v>
      </c>
    </row>
    <row r="33" spans="1:7">
      <c r="A33" s="8" t="s">
        <v>119</v>
      </c>
      <c r="C33" s="30">
        <f>C24+C25+C26+C27+C28+C29+C30+C31</f>
        <v>1223.123164484641</v>
      </c>
      <c r="D33" s="30">
        <f>D24+D25+D26+D27+D28+D29+D30+D31</f>
        <v>1078.1695519966313</v>
      </c>
      <c r="E33" s="30">
        <f>E24+E25+E26+E27+E28+E29+E30+E31</f>
        <v>1223.123164484641</v>
      </c>
      <c r="F33" s="30">
        <f>F24+F25+F26+F27+F28+F29+F30+F31</f>
        <v>1323.8487680078422</v>
      </c>
      <c r="G33" s="30">
        <f>G24+G25+G26+G27+G28+G29+G30+G31</f>
        <v>1151.0378440460674</v>
      </c>
    </row>
    <row r="34" spans="1:7">
      <c r="A34" s="8" t="s">
        <v>120</v>
      </c>
      <c r="C34" s="31">
        <f>C33/NM3perKG</f>
        <v>109.89426455387608</v>
      </c>
      <c r="D34" s="31">
        <f>D33/NM3perKG</f>
        <v>96.87057969421664</v>
      </c>
      <c r="E34" s="31">
        <f>E33/NM3perKG</f>
        <v>109.89426455387608</v>
      </c>
      <c r="F34" s="31">
        <f>F33/NM3perKG</f>
        <v>118.94418400789237</v>
      </c>
      <c r="G34" s="31">
        <f>G33/NM3perKG</f>
        <v>103.4175960508596</v>
      </c>
    </row>
    <row r="35" spans="1:7">
      <c r="A35" s="8" t="s">
        <v>121</v>
      </c>
      <c r="C35" s="31">
        <f>C33/fx</f>
        <v>8.154154429897606</v>
      </c>
      <c r="D35" s="31">
        <f>D33/fx</f>
        <v>7.187797013310876</v>
      </c>
      <c r="E35" s="31">
        <f>E33/fx</f>
        <v>8.154154429897606</v>
      </c>
      <c r="F35" s="31">
        <f>F33/fx</f>
        <v>8.825658453385614</v>
      </c>
      <c r="G35" s="31">
        <f>G33/fx</f>
        <v>7.673585626973783</v>
      </c>
    </row>
    <row r="37" spans="1:7">
      <c r="A37" s="7" t="s">
        <v>122</v>
      </c>
      <c r="C37" s="7"/>
      <c r="D37" s="7"/>
      <c r="E37" s="7"/>
      <c r="F37" s="7"/>
      <c r="G37" s="7"/>
    </row>
    <row r="38" spans="1:7">
      <c r="A38" s="20" t="s">
        <v>123</v>
      </c>
      <c r="C38" s="20" t="s">
        <v>89</v>
      </c>
      <c r="D38" s="20" t="s">
        <v>23</v>
      </c>
      <c r="E38" s="20" t="s">
        <v>24</v>
      </c>
      <c r="F38" s="20" t="s">
        <v>25</v>
      </c>
      <c r="G38" s="20" t="s">
        <v>26</v>
      </c>
    </row>
    <row r="39" spans="1:7">
      <c r="A39" s="21" t="s">
        <v>124</v>
      </c>
      <c r="C39" s="31">
        <f>C24/NM3perKG</f>
        <v>23.19063839731564</v>
      </c>
      <c r="D39" s="31">
        <f>D24/NM3perKG</f>
        <v>17.54055558778783</v>
      </c>
      <c r="E39" s="31">
        <f>E24/NM3perKG</f>
        <v>23.19063839731564</v>
      </c>
      <c r="F39" s="31">
        <f>F24/NM3perKG</f>
        <v>35.24977036391977</v>
      </c>
      <c r="G39" s="31">
        <f>G24/NM3perKG</f>
        <v>18.889829094540737</v>
      </c>
    </row>
    <row r="40" spans="1:7">
      <c r="A40" s="21" t="s">
        <v>125</v>
      </c>
      <c r="C40" s="31">
        <f>C25/NM3perKG</f>
        <v>2.684757782528279</v>
      </c>
      <c r="D40" s="31">
        <f>D25/NM3perKG</f>
        <v>1.3352772332900464</v>
      </c>
      <c r="E40" s="31">
        <f>E25/NM3perKG</f>
        <v>2.684757782528279</v>
      </c>
      <c r="F40" s="31">
        <f>F25/NM3perKG</f>
        <v>11.336950868511018</v>
      </c>
      <c r="G40" s="31">
        <f>G25/NM3perKG</f>
        <v>6.104193400630943</v>
      </c>
    </row>
    <row r="41" spans="1:7">
      <c r="A41" s="21" t="s">
        <v>126</v>
      </c>
      <c r="C41" s="31">
        <f>C26/NM3perKG</f>
        <v>8.598868374032161</v>
      </c>
      <c r="D41" s="31">
        <f>D26/NM3perKG</f>
        <v>5.574746873138772</v>
      </c>
      <c r="E41" s="31">
        <f>E26/NM3perKG</f>
        <v>8.598868374032161</v>
      </c>
      <c r="F41" s="31">
        <f>F26/NM3perKG</f>
        <v>14.937462775461583</v>
      </c>
      <c r="G41" s="31">
        <f>G26/NM3perKG</f>
        <v>6.003573555687908</v>
      </c>
    </row>
    <row r="42" spans="1:7">
      <c r="A42" s="21" t="s">
        <v>127</v>
      </c>
      <c r="C42" s="31">
        <f>C27/NM3perKG</f>
        <v>75.0</v>
      </c>
      <c r="D42" s="31">
        <f>D27/NM3perKG</f>
        <v>72.0</v>
      </c>
      <c r="E42" s="31">
        <f>E27/NM3perKG</f>
        <v>75.0</v>
      </c>
      <c r="F42" s="31">
        <f>F27/NM3perKG</f>
        <v>57.0</v>
      </c>
      <c r="G42" s="31">
        <f>G27/NM3perKG</f>
        <v>72.0</v>
      </c>
    </row>
    <row r="43" spans="1:7">
      <c r="A43" s="21" t="s">
        <v>128</v>
      </c>
      <c r="C43" s="31">
        <f>C28/NM3perKG</f>
        <v>0.42</v>
      </c>
      <c r="D43" s="31">
        <f>D28/NM3perKG</f>
        <v>0.42</v>
      </c>
      <c r="E43" s="31">
        <f>E28/NM3perKG</f>
        <v>0.42</v>
      </c>
      <c r="F43" s="31">
        <f>F28/NM3perKG</f>
        <v>0.42</v>
      </c>
      <c r="G43" s="31">
        <f>G28/NM3perKG</f>
        <v>0.42</v>
      </c>
    </row>
    <row r="44" spans="1:7">
      <c r="A44" s="21" t="s">
        <v>129</v>
      </c>
      <c r="C44" s="31">
        <f>C29/NM3perKG</f>
        <v>0.0</v>
      </c>
      <c r="D44" s="31">
        <f>D29/NM3perKG</f>
        <v>0.0</v>
      </c>
      <c r="E44" s="31">
        <f>E29/NM3perKG</f>
        <v>0.0</v>
      </c>
      <c r="F44" s="31">
        <f>F29/NM3perKG</f>
        <v>0.0</v>
      </c>
      <c r="G44" s="31">
        <f>G29/NM3perKG</f>
        <v>0.0</v>
      </c>
    </row>
    <row r="45" spans="1:7">
      <c r="A45" s="21" t="s">
        <v>77</v>
      </c>
      <c r="C45" s="31">
        <f>C30/NM3perKG</f>
        <v>-0.0</v>
      </c>
      <c r="D45" s="31">
        <f>D30/NM3perKG</f>
        <v>-0.0</v>
      </c>
      <c r="E45" s="31">
        <f>E30/NM3perKG</f>
        <v>-0.0</v>
      </c>
      <c r="F45" s="31">
        <f>F30/NM3perKG</f>
        <v>-0.0</v>
      </c>
      <c r="G45" s="31">
        <f>G30/NM3perKG</f>
        <v>-0.0</v>
      </c>
    </row>
    <row r="46" spans="1:7">
      <c r="A46" s="21" t="s">
        <v>130</v>
      </c>
      <c r="C46" s="31">
        <f>C31/NM3perKG</f>
        <v>-0.0</v>
      </c>
      <c r="D46" s="31">
        <f>D31/NM3perKG</f>
        <v>-0.0</v>
      </c>
      <c r="E46" s="31">
        <f>E31/NM3perKG</f>
        <v>-0.0</v>
      </c>
      <c r="F46" s="31">
        <f>F31/NM3perKG</f>
        <v>-0.0</v>
      </c>
      <c r="G46" s="31">
        <f>G31/NM3perKG</f>
        <v>-0.0</v>
      </c>
    </row>
    <row r="47" spans="1:7">
      <c r="A47" s="21" t="s">
        <v>131</v>
      </c>
      <c r="C47" s="31">
        <f>target2030</f>
        <v>30</v>
      </c>
      <c r="D47" s="31">
        <f>target2030</f>
        <v>30</v>
      </c>
      <c r="E47" s="31">
        <f>target2030</f>
        <v>30</v>
      </c>
      <c r="F47" s="31">
        <f>target2030</f>
        <v>30</v>
      </c>
      <c r="G47" s="31">
        <f>target2030</f>
        <v>30</v>
      </c>
    </row>
    <row r="48" spans="1:7">
      <c r="A48" s="21" t="s">
        <v>132</v>
      </c>
      <c r="C48" s="31">
        <f>target2050</f>
        <v>20</v>
      </c>
      <c r="D48" s="31">
        <f>target2050</f>
        <v>20</v>
      </c>
      <c r="E48" s="31">
        <f>target2050</f>
        <v>20</v>
      </c>
      <c r="F48" s="31">
        <f>target2050</f>
        <v>20</v>
      </c>
      <c r="G48" s="31">
        <f>target2050</f>
        <v>20</v>
      </c>
    </row>
    <row r="50" spans="1:12">
      <c r="A50" s="7" t="s">
        <v>133</v>
      </c>
    </row>
    <row r="51" spans="1:12">
      <c r="A51" s="20" t="s">
        <v>134</v>
      </c>
      <c r="B51" s="20" t="s">
        <v>135</v>
      </c>
      <c r="C51" s="20" t="s">
        <v>136</v>
      </c>
      <c r="D51" s="20" t="s">
        <v>137</v>
      </c>
      <c r="E51" s="20" t="s">
        <v>138</v>
      </c>
      <c r="F51" s="20" t="s">
        <v>139</v>
      </c>
      <c r="G51" s="20" t="s">
        <v>140</v>
      </c>
      <c r="H51" s="20" t="s">
        <v>141</v>
      </c>
      <c r="I51" s="20" t="s">
        <v>142</v>
      </c>
      <c r="J51" s="20" t="s">
        <v>143</v>
      </c>
      <c r="K51" s="20" t="s">
        <v>144</v>
      </c>
      <c r="L51" s="20" t="s">
        <v>120</v>
      </c>
    </row>
    <row r="52" spans="1:12">
      <c r="A52" s="30">
        <v>10</v>
      </c>
      <c r="B52" s="30">
        <f>A52/100*hoursPerYear</f>
        <v>876.0</v>
      </c>
      <c r="C52" s="30">
        <f>IF(B52&gt;0,capacityKW*B52/C11,0)</f>
        <v>15741.239892183286</v>
      </c>
      <c r="D52" s="31">
        <f>IF(C52&gt;0,C15/C52,0)</f>
        <v>1187.3143046657665</v>
      </c>
      <c r="E52" s="30">
        <f>IF(B52&gt;0,stackLifeH/B52,1E+09)</f>
        <v>79.90867579908675</v>
      </c>
      <c r="F52" s="30">
        <f>MAX(0,CEILING(C6/E52,1)-1)</f>
        <v>0</v>
      </c>
      <c r="G52" s="30">
        <f>(1+C5)^(-E52)</f>
        <v>0.004487260011638383</v>
      </c>
      <c r="H52" s="30">
        <f>IF(C5&lt;=0,C17*F52,IF(F52&lt;=0,0,C17*G52*(1-G52^F52)/(1-G52)))</f>
        <v>0.0</v>
      </c>
      <c r="I52" s="30">
        <f>H52*C7</f>
        <v>0.0</v>
      </c>
      <c r="J52" s="31">
        <f>IF(C52&gt;0,I52/C52,0)</f>
        <v>0.0</v>
      </c>
      <c r="K52" s="31">
        <f>IF(inclCompr=1,IF(C52&gt;0,(comprCapex*C7+comprCapex*omPct/100)/C52,0)+elecPrice*comprSEC,0)</f>
        <v>0.0</v>
      </c>
      <c r="L52" s="31">
        <f>(D52+J52+IF(C52&gt;0,C16/C52,0)+K52+C27+C28+C30+C31)/NM3perKG</f>
        <v>221.6517311481999</v>
      </c>
    </row>
    <row r="53" spans="1:12">
      <c r="A53" s="30">
        <v>15</v>
      </c>
      <c r="B53" s="30">
        <f>A53/100*hoursPerYear</f>
        <v>1314.0</v>
      </c>
      <c r="C53" s="30">
        <f>IF(B53&gt;0,capacityKW*B53/C11,0)</f>
        <v>23611.85983827493</v>
      </c>
      <c r="D53" s="31">
        <f>IF(C53&gt;0,C15/C53,0)</f>
        <v>791.5428697771777</v>
      </c>
      <c r="E53" s="30">
        <f>IF(B53&gt;0,stackLifeH/B53,1E+09)</f>
        <v>53.272450532724505</v>
      </c>
      <c r="F53" s="30">
        <f>MAX(0,CEILING(C6/E53,1)-1)</f>
        <v>0</v>
      </c>
      <c r="G53" s="30">
        <f>(1+C5)^(-E53)</f>
        <v>0.02720533993164433</v>
      </c>
      <c r="H53" s="30">
        <f>IF(C5&lt;=0,C17*F53,IF(F53&lt;=0,0,C17*G53*(1-G53^F53)/(1-G53)))</f>
        <v>0.0</v>
      </c>
      <c r="I53" s="30">
        <f>H53*C7</f>
        <v>0.0</v>
      </c>
      <c r="J53" s="31">
        <f>IF(C53&gt;0,I53/C53,0)</f>
        <v>0.0</v>
      </c>
      <c r="K53" s="31">
        <f>IF(inclCompr=1,IF(C53&gt;0,(comprCapex*C7+comprCapex*omPct/100)/C53,0)+elecPrice*comprSEC,0)</f>
        <v>0.0</v>
      </c>
      <c r="L53" s="31">
        <f>(D53+J53+IF(C53&gt;0,C16/C53,0)+K53+C27+C28+C30+C31)/NM3perKG</f>
        <v>172.90782076546662</v>
      </c>
    </row>
    <row r="54" spans="1:12">
      <c r="A54" s="30">
        <v>20</v>
      </c>
      <c r="B54" s="30">
        <f>A54/100*hoursPerYear</f>
        <v>1752.0</v>
      </c>
      <c r="C54" s="30">
        <f>IF(B54&gt;0,capacityKW*B54/C11,0)</f>
        <v>31482.479784366573</v>
      </c>
      <c r="D54" s="31">
        <f>IF(C54&gt;0,C15/C54,0)</f>
        <v>593.6571523328832</v>
      </c>
      <c r="E54" s="30">
        <f>IF(B54&gt;0,stackLifeH/B54,1E+09)</f>
        <v>39.954337899543376</v>
      </c>
      <c r="F54" s="30">
        <f>MAX(0,CEILING(C6/E54,1)-1)</f>
        <v>0</v>
      </c>
      <c r="G54" s="30">
        <f>(1+C5)^(-E54)</f>
        <v>0.06698701375369992</v>
      </c>
      <c r="H54" s="30">
        <f>IF(C5&lt;=0,C17*F54,IF(F54&lt;=0,0,C17*G54*(1-G54^F54)/(1-G54)))</f>
        <v>0.0</v>
      </c>
      <c r="I54" s="30">
        <f>H54*C7</f>
        <v>0.0</v>
      </c>
      <c r="J54" s="31">
        <f>IF(C54&gt;0,I54/C54,0)</f>
        <v>0.0</v>
      </c>
      <c r="K54" s="31">
        <f>IF(inclCompr=1,IF(C54&gt;0,(comprCapex*C7+comprCapex*omPct/100)/C54,0)+elecPrice*comprSEC,0)</f>
        <v>0.0</v>
      </c>
      <c r="L54" s="31">
        <f>(D54+J54+IF(C54&gt;0,C16/C54,0)+K54+C27+C28+C30+C31)/NM3perKG</f>
        <v>148.53586557409997</v>
      </c>
    </row>
    <row r="55" spans="1:12">
      <c r="A55" s="30">
        <v>25</v>
      </c>
      <c r="B55" s="30">
        <f>A55/100*hoursPerYear</f>
        <v>2190.0</v>
      </c>
      <c r="C55" s="30">
        <f>IF(B55&gt;0,capacityKW*B55/C11,0)</f>
        <v>39353.09973045822</v>
      </c>
      <c r="D55" s="31">
        <f>IF(C55&gt;0,C15/C55,0)</f>
        <v>474.9257218663065</v>
      </c>
      <c r="E55" s="30">
        <f>IF(B55&gt;0,stackLifeH/B55,1E+09)</f>
        <v>31.963470319634702</v>
      </c>
      <c r="F55" s="30">
        <f>MAX(0,CEILING(C6/E55,1)-1)</f>
        <v>0</v>
      </c>
      <c r="G55" s="30">
        <f>(1+C5)^(-E55)</f>
        <v>0.11502506678137486</v>
      </c>
      <c r="H55" s="30">
        <f>IF(C5&lt;=0,C17*F55,IF(F55&lt;=0,0,C17*G55*(1-G55^F55)/(1-G55)))</f>
        <v>0.0</v>
      </c>
      <c r="I55" s="30">
        <f>H55*C7</f>
        <v>0.0</v>
      </c>
      <c r="J55" s="31">
        <f>IF(C55&gt;0,I55/C55,0)</f>
        <v>0.0</v>
      </c>
      <c r="K55" s="31">
        <f>IF(inclCompr=1,IF(C55&gt;0,(comprCapex*C7+comprCapex*omPct/100)/C55,0)+elecPrice*comprSEC,0)</f>
        <v>0.0</v>
      </c>
      <c r="L55" s="31">
        <f>(D55+J55+IF(C55&gt;0,C16/C55,0)+K55+C27+C28+C30+C31)/NM3perKG</f>
        <v>133.91269245927995</v>
      </c>
    </row>
    <row r="56" spans="1:12">
      <c r="A56" s="30">
        <v>30</v>
      </c>
      <c r="B56" s="30">
        <f>A56/100*hoursPerYear</f>
        <v>2628.0</v>
      </c>
      <c r="C56" s="30">
        <f>IF(B56&gt;0,capacityKW*B56/C11,0)</f>
        <v>47223.71967654986</v>
      </c>
      <c r="D56" s="31">
        <f>IF(C56&gt;0,C15/C56,0)</f>
        <v>395.77143488858883</v>
      </c>
      <c r="E56" s="30">
        <f>IF(B56&gt;0,stackLifeH/B56,1E+09)</f>
        <v>26.636225266362253</v>
      </c>
      <c r="F56" s="30">
        <f>MAX(0,CEILING(C6/E56,1)-1)</f>
        <v>0</v>
      </c>
      <c r="G56" s="30">
        <f>(1+C5)^(-E56)</f>
        <v>0.16494041327595954</v>
      </c>
      <c r="H56" s="30">
        <f>IF(C5&lt;=0,C17*F56,IF(F56&lt;=0,0,C17*G56*(1-G56^F56)/(1-G56)))</f>
        <v>0.0</v>
      </c>
      <c r="I56" s="30">
        <f>H56*C7</f>
        <v>0.0</v>
      </c>
      <c r="J56" s="31">
        <f>IF(C56&gt;0,I56/C56,0)</f>
        <v>0.0</v>
      </c>
      <c r="K56" s="31">
        <f>IF(inclCompr=1,IF(C56&gt;0,(comprCapex*C7+comprCapex*omPct/100)/C56,0)+elecPrice*comprSEC,0)</f>
        <v>0.0</v>
      </c>
      <c r="L56" s="31">
        <f>(D56+J56+IF(C56&gt;0,C16/C56,0)+K56+C27+C28+C30+C31)/NM3perKG</f>
        <v>124.1639103827333</v>
      </c>
    </row>
    <row r="57" spans="1:12">
      <c r="A57" s="30">
        <v>35</v>
      </c>
      <c r="B57" s="30">
        <f>A57/100*hoursPerYear</f>
        <v>3066.0</v>
      </c>
      <c r="C57" s="30">
        <f>IF(B57&gt;0,capacityKW*B57/C11,0)</f>
        <v>55094.339622641506</v>
      </c>
      <c r="D57" s="31">
        <f>IF(C57&gt;0,C15/C57,0)</f>
        <v>339.23265847593325</v>
      </c>
      <c r="E57" s="30">
        <f>IF(B57&gt;0,stackLifeH/B57,1E+09)</f>
        <v>22.831050228310502</v>
      </c>
      <c r="F57" s="30">
        <f>MAX(0,CEILING(C6/E57,1)-1)</f>
        <v>0</v>
      </c>
      <c r="G57" s="30">
        <f>(1+C5)^(-E57)</f>
        <v>0.21337203329351437</v>
      </c>
      <c r="H57" s="30">
        <f>IF(C5&lt;=0,C17*F57,IF(F57&lt;=0,0,C17*G57*(1-G57^F57)/(1-G57)))</f>
        <v>0.0</v>
      </c>
      <c r="I57" s="30">
        <f>H57*C7</f>
        <v>0.0</v>
      </c>
      <c r="J57" s="31">
        <f>IF(C57&gt;0,I57/C57,0)</f>
        <v>0.0</v>
      </c>
      <c r="K57" s="31">
        <f>IF(inclCompr=1,IF(C57&gt;0,(comprCapex*C7+comprCapex*omPct/100)/C57,0)+elecPrice*comprSEC,0)</f>
        <v>0.0</v>
      </c>
      <c r="L57" s="31">
        <f>(D57+J57+IF(C57&gt;0,C16/C57,0)+K57+C27+C28+C30+C31)/NM3perKG</f>
        <v>117.20049461377141</v>
      </c>
    </row>
    <row r="58" spans="1:12">
      <c r="A58" s="30">
        <v>40</v>
      </c>
      <c r="B58" s="30">
        <f>A58/100*hoursPerYear</f>
        <v>3504.0</v>
      </c>
      <c r="C58" s="30">
        <f>IF(B58&gt;0,capacityKW*B58/C11,0)</f>
        <v>62964.959568733146</v>
      </c>
      <c r="D58" s="31">
        <f>IF(C58&gt;0,C15/C58,0)</f>
        <v>296.8285761664416</v>
      </c>
      <c r="E58" s="30">
        <f>IF(B58&gt;0,stackLifeH/B58,1E+09)</f>
        <v>19.977168949771688</v>
      </c>
      <c r="F58" s="30">
        <f>MAX(0,CEILING(C6/E58,1)-1)</f>
        <v>1</v>
      </c>
      <c r="G58" s="30">
        <f>(1+C5)^(-E58)</f>
        <v>0.25881849577203697</v>
      </c>
      <c r="H58" s="30">
        <f>IF(C5&lt;=0,C17*F58,IF(F58&lt;=0,0,C17*G58*(1-G58^F58)/(1-G58)))</f>
        <v>19217273.311073747</v>
      </c>
      <c r="I58" s="30">
        <f>H58*C7</f>
        <v>1813974.652640033</v>
      </c>
      <c r="J58" s="31">
        <f>IF(C58&gt;0,I58/C58,0)</f>
        <v>28.80927209458272</v>
      </c>
      <c r="K58" s="31">
        <f>IF(inclCompr=1,IF(C58&gt;0,(comprCapex*C7+comprCapex*omPct/100)/C58,0)+elecPrice*comprSEC,0)</f>
        <v>0.0</v>
      </c>
      <c r="L58" s="31">
        <f>(D58+J58+IF(C58&gt;0,C16/C58,0)+K58+C27+C28+C30+C31)/NM3perKG</f>
        <v>114.56636693750664</v>
      </c>
    </row>
    <row r="59" spans="1:12">
      <c r="A59" s="30">
        <v>45</v>
      </c>
      <c r="B59" s="30">
        <f>A59/100*hoursPerYear</f>
        <v>3942.0</v>
      </c>
      <c r="C59" s="30">
        <f>IF(B59&gt;0,capacityKW*B59/C11,0)</f>
        <v>70835.57951482479</v>
      </c>
      <c r="D59" s="31">
        <f>IF(C59&gt;0,C15/C59,0)</f>
        <v>263.8476232590592</v>
      </c>
      <c r="E59" s="30">
        <f>IF(B59&gt;0,stackLifeH/B59,1E+09)</f>
        <v>17.75748351090817</v>
      </c>
      <c r="F59" s="30">
        <f>MAX(0,CEILING(C6/E59,1)-1)</f>
        <v>1</v>
      </c>
      <c r="G59" s="30">
        <f>(1+C5)^(-E59)</f>
        <v>0.30075859840999863</v>
      </c>
      <c r="H59" s="30">
        <f>IF(C5&lt;=0,C17*F59,IF(F59&lt;=0,0,C17*G59*(1-G59^F59)/(1-G59)))</f>
        <v>22331325.9319424</v>
      </c>
      <c r="I59" s="30">
        <f>H59*C7</f>
        <v>2107919.1904422785</v>
      </c>
      <c r="J59" s="31">
        <f>IF(C59&gt;0,I59/C59,0)</f>
        <v>29.757915511951502</v>
      </c>
      <c r="K59" s="31">
        <f>IF(inclCompr=1,IF(C59&gt;0,(comprCapex*C7+comprCapex*omPct/100)/C59,0)+elecPrice*comprSEC,0)</f>
        <v>0.0</v>
      </c>
      <c r="L59" s="31">
        <f>(D59+J59+IF(C59&gt;0,C16/C59,0)+K59+C27+C28+C30+C31)/NM3perKG</f>
        <v>110.58960741705596</v>
      </c>
    </row>
    <row r="60" spans="1:12">
      <c r="A60" s="30">
        <v>50</v>
      </c>
      <c r="B60" s="30">
        <f>A60/100*hoursPerYear</f>
        <v>4380.0</v>
      </c>
      <c r="C60" s="30">
        <f>IF(B60&gt;0,capacityKW*B60/C11,0)</f>
        <v>78706.19946091644</v>
      </c>
      <c r="D60" s="31">
        <f>IF(C60&gt;0,C15/C60,0)</f>
        <v>237.46286093315325</v>
      </c>
      <c r="E60" s="30">
        <f>IF(B60&gt;0,stackLifeH/B60,1E+09)</f>
        <v>15.981735159817351</v>
      </c>
      <c r="F60" s="30">
        <f>MAX(0,CEILING(C6/E60,1)-1)</f>
        <v>1</v>
      </c>
      <c r="G60" s="30">
        <f>(1+C5)^(-E60)</f>
        <v>0.33915345609528275</v>
      </c>
      <c r="H60" s="30">
        <f>IF(C5&lt;=0,C17*F60,IF(F60&lt;=0,0,C17*G60*(1-G60^F60)/(1-G60)))</f>
        <v>25182144.115074743</v>
      </c>
      <c r="I60" s="30">
        <f>H60*C7</f>
        <v>2377016.259510213</v>
      </c>
      <c r="J60" s="31">
        <f>IF(C60&gt;0,I60/C60,0)</f>
        <v>30.20113124240716</v>
      </c>
      <c r="K60" s="31">
        <f>IF(inclCompr=1,IF(C60&gt;0,(comprCapex*C7+comprCapex*omPct/100)/C60,0)+elecPrice*comprSEC,0)</f>
        <v>0.0</v>
      </c>
      <c r="L60" s="31">
        <f>(D60+J60+IF(C60&gt;0,C16/C60,0)+K60+C27+C28+C30+C31)/NM3perKG</f>
        <v>107.37983511035942</v>
      </c>
    </row>
    <row r="61" spans="1:12">
      <c r="A61" s="30">
        <v>55</v>
      </c>
      <c r="B61" s="30">
        <f>A61/100*hoursPerYear</f>
        <v>4818.0</v>
      </c>
      <c r="C61" s="30">
        <f>IF(B61&gt;0,capacityKW*B61/C11,0)</f>
        <v>86576.81940700808</v>
      </c>
      <c r="D61" s="31">
        <f>IF(C61&gt;0,C15/C61,0)</f>
        <v>215.87532812104843</v>
      </c>
      <c r="E61" s="30">
        <f>IF(B61&gt;0,stackLifeH/B61,1E+09)</f>
        <v>14.528850145288501</v>
      </c>
      <c r="F61" s="30">
        <f>MAX(0,CEILING(C6/E61,1)-1)</f>
        <v>1</v>
      </c>
      <c r="G61" s="30">
        <f>(1+C5)^(-E61)</f>
        <v>0.3741859679252555</v>
      </c>
      <c r="H61" s="30">
        <f>IF(C5&lt;=0,C17*F61,IF(F61&lt;=0,0,C17*G61*(1-G61^F61)/(1-G61)))</f>
        <v>27783308.118450224</v>
      </c>
      <c r="I61" s="30">
        <f>H61*C7</f>
        <v>2622547.7401268645</v>
      </c>
      <c r="J61" s="31">
        <f>IF(C61&gt;0,I61/C61,0)</f>
        <v>30.29156947655874</v>
      </c>
      <c r="K61" s="31">
        <f>IF(inclCompr=1,IF(C61&gt;0,(comprCapex*C7+comprCapex*omPct/100)/C61,0)+elecPrice*comprSEC,0)</f>
        <v>0.0</v>
      </c>
      <c r="L61" s="31">
        <f>(D61+J61+IF(C61&gt;0,C16/C61,0)+K61+C27+C28+C30+C31)/NM3perKG</f>
        <v>104.7292019897172</v>
      </c>
    </row>
    <row r="62" spans="1:12">
      <c r="A62" s="30">
        <v>60</v>
      </c>
      <c r="B62" s="30">
        <f>A62/100*hoursPerYear</f>
        <v>5256.0</v>
      </c>
      <c r="C62" s="30">
        <f>IF(B62&gt;0,capacityKW*B62/C11,0)</f>
        <v>94447.43935309972</v>
      </c>
      <c r="D62" s="31">
        <f>IF(C62&gt;0,C15/C62,0)</f>
        <v>197.88571744429441</v>
      </c>
      <c r="E62" s="30">
        <f>IF(B62&gt;0,stackLifeH/B62,1E+09)</f>
        <v>13.318112633181126</v>
      </c>
      <c r="F62" s="30">
        <f>MAX(0,CEILING(C6/E62,1)-1)</f>
        <v>1</v>
      </c>
      <c r="G62" s="30">
        <f>(1+C5)^(-E62)</f>
        <v>0.4061285674216473</v>
      </c>
      <c r="H62" s="30">
        <f>IF(C5&lt;=0,C17*F62,IF(F62&lt;=0,0,C17*G62*(1-G62^F62)/(1-G62)))</f>
        <v>30155046.131057315</v>
      </c>
      <c r="I62" s="30">
        <f>H62*C7</f>
        <v>2846423.030233342</v>
      </c>
      <c r="J62" s="31">
        <f>IF(C62&gt;0,I62/C62,0)</f>
        <v>30.137641102071065</v>
      </c>
      <c r="K62" s="31">
        <f>IF(inclCompr=1,IF(C62&gt;0,(comprCapex*C7+comprCapex*omPct/100)/C62,0)+elecPrice*comprSEC,0)</f>
        <v>0.0</v>
      </c>
      <c r="L62" s="31">
        <f>(D62+J62+IF(C62&gt;0,C16/C62,0)+K62+C27+C28+C30+C31)/NM3perKG</f>
        <v>102.49973965696155</v>
      </c>
    </row>
    <row r="63" spans="1:12">
      <c r="A63" s="30">
        <v>65</v>
      </c>
      <c r="B63" s="30">
        <f>A63/100*hoursPerYear</f>
        <v>5694.0</v>
      </c>
      <c r="C63" s="30">
        <f>IF(B63&gt;0,capacityKW*B63/C11,0)</f>
        <v>102318.05929919136</v>
      </c>
      <c r="D63" s="31">
        <f>IF(C63&gt;0,C15/C63,0)</f>
        <v>182.66373917934868</v>
      </c>
      <c r="E63" s="30">
        <f>IF(B63&gt;0,stackLifeH/B63,1E+09)</f>
        <v>12.293642430628733</v>
      </c>
      <c r="F63" s="30">
        <f>MAX(0,CEILING(C6/E63,1)-1)</f>
        <v>1</v>
      </c>
      <c r="G63" s="30">
        <f>(1+C5)^(-E63)</f>
        <v>0.4352776256096973</v>
      </c>
      <c r="H63" s="30">
        <f>IF(C5&lt;=0,C17*F63,IF(F63&lt;=0,0,C17*G63*(1-G63^F63)/(1-G63)))</f>
        <v>32319363.701520022</v>
      </c>
      <c r="I63" s="30">
        <f>H63*C7</f>
        <v>3050719.297946852</v>
      </c>
      <c r="J63" s="31">
        <f>IF(C63&gt;0,I63/C63,0)</f>
        <v>29.816039503115974</v>
      </c>
      <c r="K63" s="31">
        <f>IF(inclCompr=1,IF(C63&gt;0,(comprCapex*C7+comprCapex*omPct/100)/C63,0)+elecPrice*comprSEC,0)</f>
        <v>0.0</v>
      </c>
      <c r="L63" s="31">
        <f>(D63+J63+IF(C63&gt;0,C16/C63,0)+K63+C27+C28+C30+C31)/NM3perKG</f>
        <v>100.59607885064233</v>
      </c>
    </row>
    <row r="64" spans="1:12">
      <c r="A64" s="30">
        <v>70</v>
      </c>
      <c r="B64" s="30">
        <f>A64/100*hoursPerYear</f>
        <v>6132.0</v>
      </c>
      <c r="C64" s="30">
        <f>IF(B64&gt;0,capacityKW*B64/C11,0)</f>
        <v>110188.67924528301</v>
      </c>
      <c r="D64" s="31">
        <f>IF(C64&gt;0,C15/C64,0)</f>
        <v>169.61632923796662</v>
      </c>
      <c r="E64" s="30">
        <f>IF(B64&gt;0,stackLifeH/B64,1E+09)</f>
        <v>11.415525114155251</v>
      </c>
      <c r="F64" s="30">
        <f>MAX(0,CEILING(C6/E64,1)-1)</f>
        <v>1</v>
      </c>
      <c r="G64" s="30">
        <f>(1+C5)^(-E64)</f>
        <v>0.4619221073877222</v>
      </c>
      <c r="H64" s="30">
        <f>IF(C5&lt;=0,C17*F64,IF(F64&lt;=0,0,C17*G64*(1-G64^F64)/(1-G64)))</f>
        <v>34297716.47353838</v>
      </c>
      <c r="I64" s="30">
        <f>H64*C7</f>
        <v>3237461.8042499446</v>
      </c>
      <c r="J64" s="31">
        <f>IF(C64&gt;0,I64/C64,0)</f>
        <v>29.381074593364225</v>
      </c>
      <c r="K64" s="31">
        <f>IF(inclCompr=1,IF(C64&gt;0,(comprCapex*C7+comprCapex*omPct/100)/C64,0)+elecPrice*comprSEC,0)</f>
        <v>0.0</v>
      </c>
      <c r="L64" s="31">
        <f>(D64+J64+IF(C64&gt;0,C16/C64,0)+K64+C27+C28+C30+C31)/NM3perKG</f>
        <v>98.95005634492382</v>
      </c>
    </row>
    <row r="65" spans="1:12">
      <c r="A65" s="30">
        <v>75</v>
      </c>
      <c r="B65" s="30">
        <f>A65/100*hoursPerYear</f>
        <v>6570.0</v>
      </c>
      <c r="C65" s="30">
        <f>IF(B65&gt;0,capacityKW*B65/C11,0)</f>
        <v>118059.29919137465</v>
      </c>
      <c r="D65" s="31">
        <f>IF(C65&gt;0,C15/C65,0)</f>
        <v>158.30857395543552</v>
      </c>
      <c r="E65" s="30">
        <f>IF(B65&gt;0,stackLifeH/B65,1E+09)</f>
        <v>10.654490106544902</v>
      </c>
      <c r="F65" s="30">
        <f>MAX(0,CEILING(C6/E65,1)-1)</f>
        <v>1</v>
      </c>
      <c r="G65" s="30">
        <f>(1+C5)^(-E65)</f>
        <v>0.4863297433997568</v>
      </c>
      <c r="H65" s="30">
        <f>IF(C5&lt;=0,C17*F65,IF(F65&lt;=0,0,C17*G65*(1-G65^F65)/(1-G65)))</f>
        <v>36109983.447431944</v>
      </c>
      <c r="I65" s="30">
        <f>H65*C7</f>
        <v>3408526.9861436347</v>
      </c>
      <c r="J65" s="31">
        <f>IF(C65&gt;0,I65/C65,0)</f>
        <v>28.87131305614814</v>
      </c>
      <c r="K65" s="31">
        <f>IF(inclCompr=1,IF(C65&gt;0,(comprCapex*C7+comprCapex*omPct/100)/C65,0)+elecPrice*comprSEC,0)</f>
        <v>0.0</v>
      </c>
      <c r="L65" s="31">
        <f>(D65+J65+IF(C65&gt;0,C16/C65,0)+K65+C27+C28+C30+C31)/NM3perKG</f>
        <v>97.51157251393325</v>
      </c>
    </row>
    <row r="66" spans="1:12">
      <c r="A66" s="30">
        <v>80</v>
      </c>
      <c r="B66" s="30">
        <f>A66/100*hoursPerYear</f>
        <v>7008.0</v>
      </c>
      <c r="C66" s="30">
        <f>IF(B66&gt;0,capacityKW*B66/C11,0)</f>
        <v>125929.91913746629</v>
      </c>
      <c r="D66" s="31">
        <f>IF(C66&gt;0,C15/C66,0)</f>
        <v>148.4142880832208</v>
      </c>
      <c r="E66" s="30">
        <f>IF(B66&gt;0,stackLifeH/B66,1E+09)</f>
        <v>9.988584474885844</v>
      </c>
      <c r="F66" s="30">
        <f>MAX(0,CEILING(C6/E66,1)-1)</f>
        <v>2</v>
      </c>
      <c r="G66" s="30">
        <f>(1+C5)^(-E66)</f>
        <v>0.508742071950057</v>
      </c>
      <c r="H66" s="30">
        <f>IF(C5&lt;=0,C17*F66,IF(F66&lt;=0,0,C17*G66*(1-G66^F66)/(1-G66)))</f>
        <v>56991372.15336549</v>
      </c>
      <c r="I66" s="30">
        <f>H66*C7</f>
        <v>5379582.3596788775</v>
      </c>
      <c r="J66" s="31">
        <f>IF(C66&gt;0,I66/C66,0)</f>
        <v>42.71885820721027</v>
      </c>
      <c r="K66" s="31">
        <f>IF(inclCompr=1,IF(C66&gt;0,(comprCapex*C7+comprCapex*omPct/100)/C66,0)+elecPrice*comprSEC,0)</f>
        <v>0.0</v>
      </c>
      <c r="L66" s="31">
        <f>(D66+J66+IF(C66&gt;0,C16/C66,0)+K66+C27+C28+C30+C31)/NM3perKG</f>
        <v>97.53713873918629</v>
      </c>
    </row>
    <row r="67" spans="1:12">
      <c r="A67" s="30">
        <v>85</v>
      </c>
      <c r="B67" s="30">
        <f>A67/100*hoursPerYear</f>
        <v>7446.0</v>
      </c>
      <c r="C67" s="30">
        <f>IF(B67&gt;0,capacityKW*B67/C11,0)</f>
        <v>133800.53908355793</v>
      </c>
      <c r="D67" s="31">
        <f>IF(C67&gt;0,C15/C67,0)</f>
        <v>139.68403584303135</v>
      </c>
      <c r="E67" s="30">
        <f>IF(B67&gt;0,stackLifeH/B67,1E+09)</f>
        <v>9.401020682245502</v>
      </c>
      <c r="F67" s="30">
        <f>MAX(0,CEILING(C6/E67,1)-1)</f>
        <v>2</v>
      </c>
      <c r="G67" s="30">
        <f>(1+C5)^(-E67)</f>
        <v>0.5293738671073238</v>
      </c>
      <c r="H67" s="30">
        <f>IF(C5&lt;=0,C17*F67,IF(F67&lt;=0,0,C17*G67*(1-G67^F67)/(1-G67)))</f>
        <v>60113583.95254887</v>
      </c>
      <c r="I67" s="30">
        <f>H67*C7</f>
        <v>5674297.066193911</v>
      </c>
      <c r="J67" s="31">
        <f>IF(C67&gt;0,I67/C67,0)</f>
        <v>42.40862634081268</v>
      </c>
      <c r="K67" s="31">
        <f>IF(inclCompr=1,IF(C67&gt;0,(comprCapex*C7+comprCapex*omPct/100)/C67,0)+elecPrice*comprSEC,0)</f>
        <v>0.0</v>
      </c>
      <c r="L67" s="31">
        <f>(D67+J67+IF(C67&gt;0,C16/C67,0)+K67+C27+C28+C30+C31)/NM3perKG</f>
        <v>96.43403193886554</v>
      </c>
    </row>
    <row r="68" spans="1:12">
      <c r="A68" s="30">
        <v>90</v>
      </c>
      <c r="B68" s="30">
        <f>A68/100*hoursPerYear</f>
        <v>7884.0</v>
      </c>
      <c r="C68" s="30">
        <f>IF(B68&gt;0,capacityKW*B68/C11,0)</f>
        <v>141671.15902964957</v>
      </c>
      <c r="D68" s="31">
        <f>IF(C68&gt;0,C15/C68,0)</f>
        <v>131.9238116295296</v>
      </c>
      <c r="E68" s="30">
        <f>IF(B68&gt;0,stackLifeH/B68,1E+09)</f>
        <v>8.878741755454085</v>
      </c>
      <c r="F68" s="30">
        <f>MAX(0,CEILING(C6/E68,1)-1)</f>
        <v>2</v>
      </c>
      <c r="G68" s="30">
        <f>(1+C5)^(-E68)</f>
        <v>0.5484146227171542</v>
      </c>
      <c r="H68" s="30">
        <f>IF(C5&lt;=0,C17*F68,IF(F68&lt;=0,0,C17*G68*(1-G68^F68)/(1-G68)))</f>
        <v>63051111.6686911</v>
      </c>
      <c r="I68" s="30">
        <f>H68*C7</f>
        <v>5951578.9017724795</v>
      </c>
      <c r="J68" s="31">
        <f>IF(C68&gt;0,I68/C68,0)</f>
        <v>42.00981302430727</v>
      </c>
      <c r="K68" s="31">
        <f>IF(inclCompr=1,IF(C68&gt;0,(comprCapex*C7+comprCapex*omPct/100)/C68,0)+elecPrice*comprSEC,0)</f>
        <v>0.0</v>
      </c>
      <c r="L68" s="31">
        <f>(D68+J68+IF(C68&gt;0,C16/C68,0)+K68+C27+C28+C30+C31)/NM3perKG</f>
        <v>95.44243670658112</v>
      </c>
    </row>
    <row r="69" spans="1:12">
      <c r="A69" s="30">
        <v>95</v>
      </c>
      <c r="B69" s="30">
        <f>A69/100*hoursPerYear</f>
        <v>8322.0</v>
      </c>
      <c r="C69" s="30">
        <f>IF(B69&gt;0,capacityKW*B69/C11,0)</f>
        <v>149541.7789757412</v>
      </c>
      <c r="D69" s="31">
        <f>IF(C69&gt;0,C15/C69,0)</f>
        <v>124.98045312271226</v>
      </c>
      <c r="E69" s="30">
        <f>IF(B69&gt;0,stackLifeH/B69,1E+09)</f>
        <v>8.411439557798607</v>
      </c>
      <c r="F69" s="30">
        <f>MAX(0,CEILING(C6/E69,1)-1)</f>
        <v>2</v>
      </c>
      <c r="G69" s="30">
        <f>(1+C5)^(-E69)</f>
        <v>0.5660308866584933</v>
      </c>
      <c r="H69" s="30">
        <f>IF(C5&lt;=0,C17*F69,IF(F69&lt;=0,0,C17*G69*(1-G69^F69)/(1-G69)))</f>
        <v>65816822.45975959</v>
      </c>
      <c r="I69" s="30">
        <f>H69*C7</f>
        <v>6212642.435101129</v>
      </c>
      <c r="J69" s="31">
        <f>IF(C69&gt;0,I69/C69,0)</f>
        <v>41.54452673796899</v>
      </c>
      <c r="K69" s="31">
        <f>IF(inclCompr=1,IF(C69&gt;0,(comprCapex*C7+comprCapex*omPct/100)/C69,0)+elecPrice*comprSEC,0)</f>
        <v>0.0</v>
      </c>
      <c r="L69" s="31">
        <f>(D69+J69+IF(C69&gt;0,C16/C69,0)+K69+C27+C28+C30+C31)/NM3perKG</f>
        <v>94.54547568629282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45</vt:i4>
      </vt:variant>
    </vt:vector>
  </HeadingPairs>
  <TitlesOfParts>
    <vt:vector size="49" baseType="lpstr">
      <vt:lpstr>入力</vt:lpstr>
      <vt:lpstr>結果</vt:lpstr>
      <vt:lpstr>定数・前提</vt:lpstr>
      <vt:lpstr>計算</vt:lpstr>
      <vt:lpstr>annualH2kg</vt:lpstr>
      <vt:lpstr>capacityKW</vt:lpstr>
      <vt:lpstr>capexPerKW</vt:lpstr>
      <vt:lpstr>cf</vt:lpstr>
      <vt:lpstr>comprCapex</vt:lpstr>
      <vt:lpstr>comprSEC</vt:lpstr>
      <vt:lpstr>degradation</vt:lpstr>
      <vt:lpstr>elecPrice</vt:lpstr>
      <vt:lpstr>fx</vt:lpstr>
      <vt:lpstr>grossPos</vt:lpstr>
      <vt:lpstr>HHV</vt:lpstr>
      <vt:lpstr>hoursPerYear</vt:lpstr>
      <vt:lpstr>inclCompr</vt:lpstr>
      <vt:lpstr>installFactor</vt:lpstr>
      <vt:lpstr>lcohNm3</vt:lpstr>
      <vt:lpstr>lcohPerKg</vt:lpstr>
      <vt:lpstr>lcohUSD</vt:lpstr>
      <vt:lpstr>lifetime</vt:lpstr>
      <vt:lpstr>NM3perKG</vt:lpstr>
      <vt:lpstr>now_p_capex</vt:lpstr>
      <vt:lpstr>now_p_compr</vt:lpstr>
      <vt:lpstr>now_p_elec</vt:lpstr>
      <vt:lpstr>now_p_o2</vt:lpstr>
      <vt:lpstr>now_p_om</vt:lpstr>
      <vt:lpstr>now_p_stack</vt:lpstr>
      <vt:lpstr>now_p_subsidy</vt:lpstr>
      <vt:lpstr>now_p_water</vt:lpstr>
      <vt:lpstr>o2Credit</vt:lpstr>
      <vt:lpstr>omPct</vt:lpstr>
      <vt:lpstr>presetCapex</vt:lpstr>
      <vt:lpstr>presetNames</vt:lpstr>
      <vt:lpstr>presetOM</vt:lpstr>
      <vt:lpstr>presetSEC</vt:lpstr>
      <vt:lpstr>presetStackLife</vt:lpstr>
      <vt:lpstr>presetStackShare</vt:lpstr>
      <vt:lpstr>secNm3</vt:lpstr>
      <vt:lpstr>stackLifeH</vt:lpstr>
      <vt:lpstr>stackShare</vt:lpstr>
      <vt:lpstr>subsidy</vt:lpstr>
      <vt:lpstr>target2030</vt:lpstr>
      <vt:lpstr>target2050</vt:lpstr>
      <vt:lpstr>tech</vt:lpstr>
      <vt:lpstr>wacc</vt:lpstr>
      <vt:lpstr>waterPrice</vt:lpstr>
      <vt:lpstr>waterUse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2026-06-29T23:21:17Z</dcterms:created>
  <dcterms:modified xsi:type="dcterms:W3CDTF">2026-06-29T23:21:17Z</dcterms:modified>
</cp:coreProperties>
</file>